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80320A-0C2A-4D6C-85EB-BF8C6E5AB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ión Proyecto" sheetId="1" r:id="rId1"/>
    <sheet name="Epics" sheetId="2" r:id="rId2"/>
    <sheet name="Formato Matriz H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AHjwVhIeKxQ/jvVjPgOO1iPuLq4MxAOWs2lVelhV+c="/>
    </ext>
  </extLst>
</workbook>
</file>

<file path=xl/calcChain.xml><?xml version="1.0" encoding="utf-8"?>
<calcChain xmlns="http://schemas.openxmlformats.org/spreadsheetml/2006/main">
  <c r="K100" i="3" l="1"/>
  <c r="C21" i="2"/>
  <c r="C22" i="2"/>
  <c r="C20" i="2"/>
  <c r="C19" i="2"/>
  <c r="C16" i="2"/>
  <c r="C15" i="2"/>
  <c r="C4" i="2"/>
  <c r="K103" i="3"/>
  <c r="K96" i="3"/>
  <c r="K93" i="3"/>
  <c r="K90" i="3"/>
  <c r="K87" i="3"/>
  <c r="K83" i="3"/>
  <c r="K80" i="3"/>
  <c r="K77" i="3"/>
  <c r="K74" i="3"/>
  <c r="K71" i="3"/>
  <c r="K67" i="3"/>
  <c r="K64" i="3"/>
  <c r="K61" i="3"/>
  <c r="K57" i="3"/>
  <c r="K54" i="3"/>
  <c r="K51" i="3"/>
  <c r="K48" i="3"/>
  <c r="K44" i="3"/>
  <c r="K41" i="3"/>
  <c r="K38" i="3"/>
  <c r="K35" i="3"/>
  <c r="K32" i="3"/>
  <c r="K29" i="3"/>
  <c r="K26" i="3"/>
  <c r="K22" i="3"/>
  <c r="K19" i="3"/>
  <c r="K16" i="3"/>
  <c r="K13" i="3"/>
  <c r="K10" i="3"/>
  <c r="K7" i="3"/>
  <c r="K4" i="3"/>
  <c r="C14" i="2"/>
  <c r="C6" i="2"/>
  <c r="C7" i="2"/>
  <c r="C8" i="2"/>
  <c r="C9" i="2"/>
  <c r="C10" i="2"/>
  <c r="C11" i="2"/>
  <c r="C12" i="2"/>
  <c r="C13" i="2"/>
  <c r="C17" i="2"/>
  <c r="C18" i="2"/>
  <c r="C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ID#AAABraoQ-Pw
Usuario    (2025-09-22 19:17:19)
Nombre del Proyecto / App</t>
        </r>
      </text>
    </comment>
    <comment ref="C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ID#AAABraoQ-P0
Usuario    (2025-09-22 19:17:19)
Objetivo general del proyecto / App</t>
        </r>
      </text>
    </comment>
    <comment ref="A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ID#AAABraoQ_yI
Usuario    (2025-09-22 19:17:19)
Usuarios de la App</t>
        </r>
      </text>
    </comment>
    <comment ref="B6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ID#AAABraoQ_yQ
Usuario    (2025-09-22 19:17:19)
Necesidades de cada Usuario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ID#AAABraoQ_yE
Usuario    (2025-09-22 19:17:19)
Productos que resuelven cada necesidad</t>
        </r>
      </text>
    </comment>
    <comment ref="D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ID#AAABraoQ_yM
Usuario    (2025-09-22 19:17:19)
Valor que se obtiene para el negocio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DryJzXuyOraVRX/4s3i1YhlHzg=="/>
    </ext>
  </extLst>
</comments>
</file>

<file path=xl/sharedStrings.xml><?xml version="1.0" encoding="utf-8"?>
<sst xmlns="http://schemas.openxmlformats.org/spreadsheetml/2006/main" count="677" uniqueCount="453">
  <si>
    <r>
      <rPr>
        <sz val="11"/>
        <color rgb="FF00A900"/>
        <rFont val="Calibri"/>
      </rPr>
      <t xml:space="preserve">Servicio Nacional de Aprendizaje SENA
Centro de Servicios y Gestión Empresarial
Tecnólogo en Análisis y Desarrollo de Software
</t>
    </r>
    <r>
      <rPr>
        <b/>
        <sz val="14"/>
        <color rgb="FF00A900"/>
        <rFont val="Calibri"/>
      </rPr>
      <t>Product Visión Board</t>
    </r>
    <r>
      <rPr>
        <sz val="11"/>
        <color rgb="FF00A900"/>
        <rFont val="Calibri"/>
      </rPr>
      <t xml:space="preserve">
</t>
    </r>
  </si>
  <si>
    <t>Ver. 03_Marzo 6 de 2024</t>
  </si>
  <si>
    <t>Nombre del proyecto:</t>
  </si>
  <si>
    <t>Visión del proyecto:</t>
  </si>
  <si>
    <t>Grupo de Usuarios</t>
  </si>
  <si>
    <t>Necesidades</t>
  </si>
  <si>
    <t>Funcionalidades</t>
  </si>
  <si>
    <t>Beneficios</t>
  </si>
  <si>
    <t>Administrador</t>
  </si>
  <si>
    <t>Gestionar Roles</t>
  </si>
  <si>
    <t>Gestionar Usuarios</t>
  </si>
  <si>
    <t>Gestionar Permisos</t>
  </si>
  <si>
    <t>Usuario</t>
  </si>
  <si>
    <t>Proceso</t>
  </si>
  <si>
    <t>Subproceso</t>
  </si>
  <si>
    <t>Epica</t>
  </si>
  <si>
    <t>Yo como</t>
  </si>
  <si>
    <t>ROL DE USUARIO</t>
  </si>
  <si>
    <t>Deseo - Necesito - Quiero</t>
  </si>
  <si>
    <t>OBJETIVO</t>
  </si>
  <si>
    <t xml:space="preserve">01. Configuración </t>
  </si>
  <si>
    <t>necesito</t>
  </si>
  <si>
    <t>02. Usuarios</t>
  </si>
  <si>
    <t>Cliente</t>
  </si>
  <si>
    <r>
      <rPr>
        <b/>
        <sz val="10"/>
        <color rgb="FF00B050"/>
        <rFont val="Calibri"/>
      </rPr>
      <t>OBJETIVO
(</t>
    </r>
    <r>
      <rPr>
        <b/>
        <sz val="10"/>
        <color rgb="FFFF0000"/>
        <rFont val="Calibri"/>
      </rPr>
      <t>registrar</t>
    </r>
    <r>
      <rPr>
        <b/>
        <sz val="10"/>
        <color rgb="FF00B050"/>
        <rFont val="Calibri"/>
      </rPr>
      <t xml:space="preserve">, </t>
    </r>
    <r>
      <rPr>
        <b/>
        <sz val="10"/>
        <color rgb="FFFFC000"/>
        <rFont val="Calibri"/>
      </rPr>
      <t>consultar</t>
    </r>
    <r>
      <rPr>
        <b/>
        <sz val="10"/>
        <color rgb="FF00B050"/>
        <rFont val="Calibri"/>
      </rPr>
      <t xml:space="preserve">, </t>
    </r>
    <r>
      <rPr>
        <b/>
        <sz val="10"/>
        <color rgb="FF0000CC"/>
        <rFont val="Calibri"/>
      </rPr>
      <t>modificar</t>
    </r>
    <r>
      <rPr>
        <b/>
        <sz val="10"/>
        <color rgb="FF00B050"/>
        <rFont val="Calibri"/>
      </rPr>
      <t xml:space="preserve">, </t>
    </r>
    <r>
      <rPr>
        <b/>
        <sz val="10"/>
        <color rgb="FF00B050"/>
        <rFont val="Calibri"/>
      </rPr>
      <t>listar</t>
    </r>
    <r>
      <rPr>
        <b/>
        <sz val="10"/>
        <color rgb="FF00B050"/>
        <rFont val="Calibri"/>
      </rPr>
      <t xml:space="preserve">, </t>
    </r>
    <r>
      <rPr>
        <b/>
        <sz val="10"/>
        <color rgb="FFFF0066"/>
        <rFont val="Calibri"/>
      </rPr>
      <t>buscar</t>
    </r>
    <r>
      <rPr>
        <b/>
        <sz val="10"/>
        <color rgb="FF00B050"/>
        <rFont val="Calibri"/>
      </rPr>
      <t xml:space="preserve">, </t>
    </r>
    <r>
      <rPr>
        <b/>
        <sz val="10"/>
        <color rgb="FF990000"/>
        <rFont val="Calibri"/>
      </rPr>
      <t>generar</t>
    </r>
    <r>
      <rPr>
        <b/>
        <sz val="10"/>
        <color rgb="FF00B050"/>
        <rFont val="Calibri"/>
      </rPr>
      <t xml:space="preserve"> …...)</t>
    </r>
  </si>
  <si>
    <t>Para poder</t>
  </si>
  <si>
    <t xml:space="preserve"> BENEFICIO
(Para el usuario)</t>
  </si>
  <si>
    <t>Código Historia Usuario</t>
  </si>
  <si>
    <t>Redacción Historia de Usuario</t>
  </si>
  <si>
    <t>Código Criterio de Aceptación</t>
  </si>
  <si>
    <t>Criterios de Aceptación</t>
  </si>
  <si>
    <t>para poder</t>
  </si>
  <si>
    <t>01.1.1</t>
  </si>
  <si>
    <t>01.1.1.1</t>
  </si>
  <si>
    <t>01.1.1.2</t>
  </si>
  <si>
    <t>01.1.1.3</t>
  </si>
  <si>
    <t>01.1.2</t>
  </si>
  <si>
    <t>01.1.2.1</t>
  </si>
  <si>
    <t>01.1.2.2</t>
  </si>
  <si>
    <t>01.1.2.3</t>
  </si>
  <si>
    <t>listar roles</t>
  </si>
  <si>
    <t>01.1.3</t>
  </si>
  <si>
    <t>01.1.3.1</t>
  </si>
  <si>
    <t>01.1.3.2</t>
  </si>
  <si>
    <t>01.1.3.3</t>
  </si>
  <si>
    <t>cambiar el estado de un rol</t>
  </si>
  <si>
    <t>01.1.4</t>
  </si>
  <si>
    <t>01.1.4.1</t>
  </si>
  <si>
    <t>01.1.4.2</t>
  </si>
  <si>
    <t>01.1.4.3</t>
  </si>
  <si>
    <t>crear usuarios</t>
  </si>
  <si>
    <t>02.1.1</t>
  </si>
  <si>
    <t>02.1.1.1</t>
  </si>
  <si>
    <t>02.1.1.2</t>
  </si>
  <si>
    <t>02.1.1.3</t>
  </si>
  <si>
    <t>02.1.2</t>
  </si>
  <si>
    <t>02.1.2.1</t>
  </si>
  <si>
    <t>02.1.2.2</t>
  </si>
  <si>
    <t>02.1.2.3</t>
  </si>
  <si>
    <t>02.1.3</t>
  </si>
  <si>
    <t>02.1.3.1</t>
  </si>
  <si>
    <t>02.1.3.2</t>
  </si>
  <si>
    <t>02.1.3.3</t>
  </si>
  <si>
    <t>02.1.4</t>
  </si>
  <si>
    <t>02.1.4.1</t>
  </si>
  <si>
    <t>02.1.4.2</t>
  </si>
  <si>
    <t>02.1.4.3</t>
  </si>
  <si>
    <t>iniciar sesión</t>
  </si>
  <si>
    <t>02.2.1</t>
  </si>
  <si>
    <t>02.2.1.1</t>
  </si>
  <si>
    <t>02.2.1.2</t>
  </si>
  <si>
    <t>02.2.1.3</t>
  </si>
  <si>
    <t>cerrar sesión</t>
  </si>
  <si>
    <t>02.2.2</t>
  </si>
  <si>
    <t>02.2.2.1</t>
  </si>
  <si>
    <t>02.2.2.2</t>
  </si>
  <si>
    <t>02.2.2.3</t>
  </si>
  <si>
    <t>recuperar contraseña</t>
  </si>
  <si>
    <t>02.2.3</t>
  </si>
  <si>
    <t>02.2.3.1</t>
  </si>
  <si>
    <t>02.2.3.2</t>
  </si>
  <si>
    <t>02.2.3.3</t>
  </si>
  <si>
    <t>03.1.1</t>
  </si>
  <si>
    <t>03.1.1.1</t>
  </si>
  <si>
    <t>03.1.1.2</t>
  </si>
  <si>
    <t>03.1.1.3</t>
  </si>
  <si>
    <t>03.1.2</t>
  </si>
  <si>
    <t>03.1.2.1</t>
  </si>
  <si>
    <t>03.1.2.2</t>
  </si>
  <si>
    <t>03.1.2.3</t>
  </si>
  <si>
    <t>03.1.3</t>
  </si>
  <si>
    <t>03.1.3.1</t>
  </si>
  <si>
    <t>03.1.3.2</t>
  </si>
  <si>
    <t>03.1.3.3</t>
  </si>
  <si>
    <t>03.1.4</t>
  </si>
  <si>
    <t>03.1.4.1</t>
  </si>
  <si>
    <t>03.1.4.2</t>
  </si>
  <si>
    <t>03.1.4.3</t>
  </si>
  <si>
    <t>04.1.1</t>
  </si>
  <si>
    <t>04.1.1.1</t>
  </si>
  <si>
    <t>04.1.1.2</t>
  </si>
  <si>
    <t>04.1.1.3</t>
  </si>
  <si>
    <t>04.1.2</t>
  </si>
  <si>
    <t>04.1.2.1</t>
  </si>
  <si>
    <t>04.1.2.2</t>
  </si>
  <si>
    <t>04.1.2.3</t>
  </si>
  <si>
    <t>04.1.3</t>
  </si>
  <si>
    <t>04.1.3.1</t>
  </si>
  <si>
    <t>04.1.3.2</t>
  </si>
  <si>
    <t>04.1.3.3</t>
  </si>
  <si>
    <t>05.1.1</t>
  </si>
  <si>
    <t>05.1.1.1</t>
  </si>
  <si>
    <t>05.1.1.2</t>
  </si>
  <si>
    <t>05.1.1.3</t>
  </si>
  <si>
    <t>05.1.2</t>
  </si>
  <si>
    <t>05.1.2.1</t>
  </si>
  <si>
    <t>05.1.2.2</t>
  </si>
  <si>
    <t>05.1.2.3</t>
  </si>
  <si>
    <t>05.1.3</t>
  </si>
  <si>
    <t>05.1.3.1</t>
  </si>
  <si>
    <t>05.1.3.2</t>
  </si>
  <si>
    <t>05.1.3.3</t>
  </si>
  <si>
    <t>05.2.1</t>
  </si>
  <si>
    <t>05.2.1.1</t>
  </si>
  <si>
    <t>05.2.1.2</t>
  </si>
  <si>
    <t>05.2.1.3</t>
  </si>
  <si>
    <t>05.2.2</t>
  </si>
  <si>
    <t>05.2.2.1</t>
  </si>
  <si>
    <t>05.2.2.2</t>
  </si>
  <si>
    <t>05.2.2.3</t>
  </si>
  <si>
    <t>01.1 Gestión de Roles</t>
  </si>
  <si>
    <t>Yo como administrador necesito gestionar los roles del sistema</t>
  </si>
  <si>
    <t>02.1 Gestión de Usuarios</t>
  </si>
  <si>
    <t>Yo como administrador necesito gestionar los usuarios del sistema</t>
  </si>
  <si>
    <t>02.2 Gestión de Accesos</t>
  </si>
  <si>
    <t>Yo como administrador necesito gestionar el acceso al sistema</t>
  </si>
  <si>
    <t>Yo como cliente necesito acceder al sistema</t>
  </si>
  <si>
    <t>05.2 Comunicación</t>
  </si>
  <si>
    <t>01. Configuración</t>
  </si>
  <si>
    <t>01.2 Gestión de Permisos</t>
  </si>
  <si>
    <t>06. Reportes</t>
  </si>
  <si>
    <t>06.1 Reportes</t>
  </si>
  <si>
    <t>07. Notificaciones</t>
  </si>
  <si>
    <t>07.1 Notificaciones</t>
  </si>
  <si>
    <t>Yo como cliente necesito gestionar mi cuenta</t>
  </si>
  <si>
    <t>administrar usuarios</t>
  </si>
  <si>
    <t>editar roles</t>
  </si>
  <si>
    <t>crear permisos</t>
  </si>
  <si>
    <t>01.2.1</t>
  </si>
  <si>
    <t>01.2.2</t>
  </si>
  <si>
    <t>06.1.1</t>
  </si>
  <si>
    <t>06.2.1</t>
  </si>
  <si>
    <t>07.1.1</t>
  </si>
  <si>
    <t>controlar los accesos a los módulos del sistema</t>
  </si>
  <si>
    <t>Se deben ingresar como mínimo los campos: nombre del rol, descripción, permisos asociados y estado.</t>
  </si>
  <si>
    <t>El sistema no debe permitir registrar un rol con un nombre ya existente.</t>
  </si>
  <si>
    <t>El sistema debe solicitar confirmación antes de crear el rol y mostrar mensaje de éxito al finalizar.</t>
  </si>
  <si>
    <t>actualizar permisos y responsabilidades del sistema</t>
  </si>
  <si>
    <t>El sistema debe permitir modificar nombre, descripción, permisos y estado del rol.</t>
  </si>
  <si>
    <t>No se debe permitir cambiar el nombre del rol por otro ya registrado.</t>
  </si>
  <si>
    <t>Los cambios realizados deben quedar guardados y reflejados inmediatamente en la lista de roles.</t>
  </si>
  <si>
    <t>consultar los roles registrados en el sistema</t>
  </si>
  <si>
    <t>Solo los usuarios con permisos administrativos deben poder acceder a la lista de roles.</t>
  </si>
  <si>
    <t>La lista debe mostrar como mínimo: nombre del rol, descripción, estado y cantidad de usuarios asociados.</t>
  </si>
  <si>
    <t>Debe existir filtro por nombre o estado del rol.</t>
  </si>
  <si>
    <t>activar o inactivar roles sin perder trazabilidad</t>
  </si>
  <si>
    <t>El sistema debe permitir cambiar el estado del rol entre Activo e Inactivo.</t>
  </si>
  <si>
    <t>El cambio de estado debe registrarse con fecha, hora y usuario responsable.</t>
  </si>
  <si>
    <t>Yo como administrador necesito gestionar los permisos del sistema</t>
  </si>
  <si>
    <t>controlar las acciones disponibles en cada módulo</t>
  </si>
  <si>
    <t>01.2.1.1</t>
  </si>
  <si>
    <t>Se deben registrar los campos: nombre del permiso, módulo asociado, acción permitida y estado.</t>
  </si>
  <si>
    <t>01.2.1.2</t>
  </si>
  <si>
    <t>El sistema no debe permitir permisos duplicados para el mismo módulo y acción.</t>
  </si>
  <si>
    <t>01.2.1.3</t>
  </si>
  <si>
    <t>El permiso creado debe quedar disponible para asignación a roles.</t>
  </si>
  <si>
    <t>asignar permisos a roles</t>
  </si>
  <si>
    <t>definir el alcance funcional de cada rol</t>
  </si>
  <si>
    <t>01.2.2.1</t>
  </si>
  <si>
    <t>El sistema debe permitir seleccionar uno o varios permisos para asociarlos a un rol.</t>
  </si>
  <si>
    <t>01.2.2.2</t>
  </si>
  <si>
    <t>Debe mostrarse un resumen de permisos asignados antes de confirmar el guardado.</t>
  </si>
  <si>
    <t>01.2.2.3</t>
  </si>
  <si>
    <t>Al guardar, los accesos del rol deben actualizarse inmediatamente.</t>
  </si>
  <si>
    <t>listar permisos</t>
  </si>
  <si>
    <t>consultar la configuración de seguridad del sistema</t>
  </si>
  <si>
    <t>01.2.3</t>
  </si>
  <si>
    <t>01.2.3.1</t>
  </si>
  <si>
    <t>La lista debe mostrar nombre del permiso, módulo, acción y estado.</t>
  </si>
  <si>
    <t>01.2.3.2</t>
  </si>
  <si>
    <t>Debe existir filtro por módulo, acción o estado.</t>
  </si>
  <si>
    <t>01.2.3.3</t>
  </si>
  <si>
    <t>Solo administradores autenticados deben acceder a esta funcionalidad.</t>
  </si>
  <si>
    <t>dar acceso controlado a la plataforma</t>
  </si>
  <si>
    <t>El formulario debe solicitar nombre completo, correo, teléfono, contraseña y rol.</t>
  </si>
  <si>
    <t>El correo electrónico debe ser único dentro del sistema.</t>
  </si>
  <si>
    <t>El sistema debe crear el usuario en estado activo y enviar confirmación de registro.</t>
  </si>
  <si>
    <t>editar usuarios</t>
  </si>
  <si>
    <t>mantener actualizada la información de los usuarios</t>
  </si>
  <si>
    <t>El sistema debe permitir modificar nombre, teléfono, rol y estado del usuario.</t>
  </si>
  <si>
    <t>No se debe permitir editar el correo si rompe la unicidad del registro.</t>
  </si>
  <si>
    <t>Toda modificación debe quedar registrada en la trazabilidad del usuario.</t>
  </si>
  <si>
    <t>actualizar mis datos</t>
  </si>
  <si>
    <t>mantener vigente mi información personal</t>
  </si>
  <si>
    <t>El cliente debe poder editar nombre, teléfono y dirección de contacto.</t>
  </si>
  <si>
    <t>El sistema debe validar campos obligatorios antes de guardar.</t>
  </si>
  <si>
    <t>Al finalizar, el sistema debe mostrar mensaje de actualización exitosa.</t>
  </si>
  <si>
    <t>cambiar el estado de un usuario</t>
  </si>
  <si>
    <t>activar o inactivar cuentas sin eliminarlas</t>
  </si>
  <si>
    <t>El sistema debe permitir cambiar el estado entre Activo e Inactivo.</t>
  </si>
  <si>
    <t>El cambio debe solicitar confirmación previa al administrador.</t>
  </si>
  <si>
    <t>El usuario inactivado no debe poder iniciar sesión.</t>
  </si>
  <si>
    <t>acceder a la administración del sistema</t>
  </si>
  <si>
    <t>No se debe permitir el ingreso de usuarios no registrados o inactivos.</t>
  </si>
  <si>
    <t>Tras autenticación exitosa, el sistema debe redirigir al panel correspondiente al rol.</t>
  </si>
  <si>
    <t>restablecer mi acceso cuando lo olvide</t>
  </si>
  <si>
    <t>El sistema debe solicitar el correo electrónico registrado.</t>
  </si>
  <si>
    <t>Debe enviarse un enlace o código temporal de recuperación al correo del usuario.</t>
  </si>
  <si>
    <t>La nueva contraseña debe cumplir políticas mínimas de seguridad.</t>
  </si>
  <si>
    <t>proteger mi cuenta de accesos no autorizados</t>
  </si>
  <si>
    <t>El sistema debe cerrar la sesión activa del usuario autenticado.</t>
  </si>
  <si>
    <t>Después del cierre, no se debe permitir navegar a páginas protegidas usando la sesión anterior.</t>
  </si>
  <si>
    <t>El sistema debe redirigir al usuario a la pantalla de inicio de sesión.</t>
  </si>
  <si>
    <t>La edición debe reflejarse inmediatamente en las consultas posteriores.</t>
  </si>
  <si>
    <t>cambiar el estado de la mascota</t>
  </si>
  <si>
    <t>conservar trazabilidad sin eliminar registros</t>
  </si>
  <si>
    <t>El cambio debe quedar registrado con fecha, hora y usuario responsable.</t>
  </si>
  <si>
    <t>Si no existen registros, el sistema debe mostrar un mensaje informativo claro.</t>
  </si>
  <si>
    <t>enviar mensajes y evidencias</t>
  </si>
  <si>
    <t>Debe mostrarse confirmación visual cuando el mensaje o archivo se envíe correctamente.</t>
  </si>
  <si>
    <t>revisar la conversación completa del caso</t>
  </si>
  <si>
    <t>El historial debe mostrar mensajes, archivos adjuntos, fecha y remitente.</t>
  </si>
  <si>
    <t>Yo como administrador necesito generar reportes</t>
  </si>
  <si>
    <t>06.1.1.1</t>
  </si>
  <si>
    <t>06.1.1.2</t>
  </si>
  <si>
    <t>06.1.1.3</t>
  </si>
  <si>
    <t>Debe existir opción para exportar el reporte a PDF o Excel.</t>
  </si>
  <si>
    <t>tomar decisiones basadas en información consolidada</t>
  </si>
  <si>
    <t>06.1.2</t>
  </si>
  <si>
    <t>06.1.2.1</t>
  </si>
  <si>
    <t>06.1.2.2</t>
  </si>
  <si>
    <t>06.1.2.3</t>
  </si>
  <si>
    <t>06.2.1.1</t>
  </si>
  <si>
    <t>06.2.1.2</t>
  </si>
  <si>
    <t>06.2.1.3</t>
  </si>
  <si>
    <t>06.2.2</t>
  </si>
  <si>
    <t>06.2.2.1</t>
  </si>
  <si>
    <t>06.2.2.2</t>
  </si>
  <si>
    <t>06.2.2.3</t>
  </si>
  <si>
    <t>Yo como usuario necesito recibir alertas</t>
  </si>
  <si>
    <t>07.1.1.1</t>
  </si>
  <si>
    <t>07.1.1.2</t>
  </si>
  <si>
    <t>07.1.1.3</t>
  </si>
  <si>
    <t>El usuario debe poder visualizar el recordatorio dentro del sistema.</t>
  </si>
  <si>
    <t>07.1.2</t>
  </si>
  <si>
    <t>07.1.2.1</t>
  </si>
  <si>
    <t>07.1.2.2</t>
  </si>
  <si>
    <t>07.1.2.3</t>
  </si>
  <si>
    <t>La notificación debe marcarse como leída o pendiente por parte del usuario.</t>
  </si>
  <si>
    <t>Taller Gabriel Lasso (Sistema de Taller Mecánico)</t>
  </si>
  <si>
    <t>Registrar, consultar, actualizar, cambiar estados de los roles</t>
  </si>
  <si>
    <t>Control de acceso al sistemas</t>
  </si>
  <si>
    <t>Registrar, actualizar, consultar y eliminar usuarios del sistema, asignando roles y controlando su acceso</t>
  </si>
  <si>
    <t>Administración del personal</t>
  </si>
  <si>
    <t>Configurar y modificar los permisos asociados a cada rol para controlar el acceso a las funcionalidades del sistema</t>
  </si>
  <si>
    <t>Brinda mayor seguridad al sistema al controlar las acciones de cada rol</t>
  </si>
  <si>
    <t>Gestionar Clientes</t>
  </si>
  <si>
    <t>Registrar, consultar, actualizar y eliminar la información de los clientes del taller</t>
  </si>
  <si>
    <t>Mejora la organización de la información de los clientes, permitiendo una atención más rápida</t>
  </si>
  <si>
    <t>Gestionar Vehículos</t>
  </si>
  <si>
    <t>Registrar y administrar los vehículos asociados a cada cliente</t>
  </si>
  <si>
    <t>Permite llevar un registro detallado de los vehículos</t>
  </si>
  <si>
    <t xml:space="preserve">Gestionar Servicios </t>
  </si>
  <si>
    <t>Crear, modificar y consultar los servicios ofrecidos por el taller</t>
  </si>
  <si>
    <t>Ayuda mantener actualizado la oferta de servicios del taller, permitiendo adaptarse a las necesidades del mercado</t>
  </si>
  <si>
    <t>Gestionar Repuestos</t>
  </si>
  <si>
    <t>Desarrollar un sitio web/movil que permita gestionar los procesos de reservas y cambios de repuestos del Taller Mecánico</t>
  </si>
  <si>
    <t>Administrar el inventario de repuestos, permitiendo registrar, actualizar, consultar y eliminar productos</t>
  </si>
  <si>
    <t>Optimiza el inventario, evitando perdidas o exceso de productos, lo que reduce costos</t>
  </si>
  <si>
    <t>Gestionar Proveedores</t>
  </si>
  <si>
    <t xml:space="preserve">Registrar y gestionar la información de proveedores de repuestos </t>
  </si>
  <si>
    <t>Facilita la organización y seguimiento de proveedores, asegurando la disponibilidad de repuestos</t>
  </si>
  <si>
    <t>Gestionar Ordenes de Trabajo</t>
  </si>
  <si>
    <t xml:space="preserve">Crear, asignar, actualizar y hacer seguimiento de las ordenes de trabajo </t>
  </si>
  <si>
    <t>Permite un control de cada reparación, mejorando planificación y cumplimiento de los tiempos de entrega</t>
  </si>
  <si>
    <t>Gestionar Pagos</t>
  </si>
  <si>
    <t>Registrar y controlar los pagos realizados por los clientes, incluyendo diferentes métodos de pagos</t>
  </si>
  <si>
    <t>Brinda un control claro de los ingresos del taller</t>
  </si>
  <si>
    <t xml:space="preserve">Gestionar Facturación </t>
  </si>
  <si>
    <t>Generar y consultar facturas correspondientes a los servicios prestados</t>
  </si>
  <si>
    <t xml:space="preserve">Permite generar comprobantes de pagos, lo que mejora la transparencia </t>
  </si>
  <si>
    <t>Ver Servicios</t>
  </si>
  <si>
    <t>Consultar los servicios disponibles del taller con costos y descripciones</t>
  </si>
  <si>
    <t>Permite conocer de forma clara los servicios disponibles</t>
  </si>
  <si>
    <t>Registrar Vehículo</t>
  </si>
  <si>
    <t xml:space="preserve">Ingresar la información de su vehículo en el sistema para acceder a los servicios del taller </t>
  </si>
  <si>
    <t xml:space="preserve">Agiliza el proceso de atención al tener previamente la información del vehículo  </t>
  </si>
  <si>
    <t>Solicitar Servicio</t>
  </si>
  <si>
    <t xml:space="preserve">Crear solicitudes de servicio para su vehículo </t>
  </si>
  <si>
    <t xml:space="preserve">Facilita la solicitud de mantenimiento por reparación ahorrando tiempo </t>
  </si>
  <si>
    <t>Ver Historial de Servicios</t>
  </si>
  <si>
    <t xml:space="preserve">Acceder a historial de servicios </t>
  </si>
  <si>
    <t xml:space="preserve">Permite llevar un control de los mantenimientos realizados, ayudando a mejorar el cuidado del vehículo </t>
  </si>
  <si>
    <t>Realizar Pagos</t>
  </si>
  <si>
    <t xml:space="preserve">Efectuar pagos por los servicios recibidos mediante los métodos disponibles </t>
  </si>
  <si>
    <t xml:space="preserve">Ofrece comodidad y rápidez en el proceso de pago </t>
  </si>
  <si>
    <t>Mecánico</t>
  </si>
  <si>
    <t>Consultar y actualizar las ordenes de trabajo asignadas, registrando los avances</t>
  </si>
  <si>
    <t>Permite organizar y priorizar las tareas asignadas</t>
  </si>
  <si>
    <t>Registrar Servicios Realizados</t>
  </si>
  <si>
    <t xml:space="preserve">Ingresar los detalles de los servicios efectuados de cada vehículo </t>
  </si>
  <si>
    <t xml:space="preserve">Facilita el control de las actividades dejando evidencia del trabajo ejecutado </t>
  </si>
  <si>
    <t>Registrar y actualizar los repuestos utilizados</t>
  </si>
  <si>
    <t xml:space="preserve">Permite llevar un control preciso de los materiales utilizados, evitando errores en el inventario </t>
  </si>
  <si>
    <t>Ver Información del Cliente</t>
  </si>
  <si>
    <t xml:space="preserve">Consultar los datos basicos de los clientes para la correcta atención </t>
  </si>
  <si>
    <t>Facilita una atención más personalizada, al contar con información del ciente</t>
  </si>
  <si>
    <t>gestionar roles del sistema para controlar los niveles de acceso</t>
  </si>
  <si>
    <t>configurar permisos para garantizar la seguridad del sistema</t>
  </si>
  <si>
    <t>gestionar mi información personal</t>
  </si>
  <si>
    <t>controlar accesos para garantizar la seguridad</t>
  </si>
  <si>
    <t>iniciar sesión para acceder a las funcionalidades del sistema</t>
  </si>
  <si>
    <t>03. Clientes y Vehículos</t>
  </si>
  <si>
    <t>03.1 Gestión de Clientes</t>
  </si>
  <si>
    <t xml:space="preserve">03.2 Gestión de Vehículos </t>
  </si>
  <si>
    <t>gestionar la información de los clientes</t>
  </si>
  <si>
    <t xml:space="preserve">registrar mi vehículo para acceder a los servicios </t>
  </si>
  <si>
    <t xml:space="preserve">04. Ordenes de Trabajo </t>
  </si>
  <si>
    <t xml:space="preserve">04.1 Gestión de Ordenes de Trabajo </t>
  </si>
  <si>
    <t xml:space="preserve">gestionar ordenes de trabajo para controlar los procesos de reparación </t>
  </si>
  <si>
    <t>consultar el estado de mi vehículo para conocer el progreso del servicio</t>
  </si>
  <si>
    <t>05. Servicios</t>
  </si>
  <si>
    <t xml:space="preserve">05.1 Gestión de Servicios </t>
  </si>
  <si>
    <t>gestionar los servicios ofrecidos para mantener actualizado la oferta del taller</t>
  </si>
  <si>
    <t xml:space="preserve">consultar los servicios disponibles para elegir el que necesito </t>
  </si>
  <si>
    <t>06. Inventario y Proveedores</t>
  </si>
  <si>
    <t>06.1 Gestión de Repuestos</t>
  </si>
  <si>
    <t xml:space="preserve">06.2 Gestión de Proveedores </t>
  </si>
  <si>
    <t xml:space="preserve">gestionar repuestos para controlar el inventario </t>
  </si>
  <si>
    <t>Empleado</t>
  </si>
  <si>
    <t xml:space="preserve">gestionar proveedores asegurar el suministro de repuestos </t>
  </si>
  <si>
    <t>registrar repuestos utilizados para llevar un control de los materiales</t>
  </si>
  <si>
    <t xml:space="preserve">07. Pagos y Facturación </t>
  </si>
  <si>
    <t>07.1 Gestión de Pagos</t>
  </si>
  <si>
    <t>07.2 Facturación</t>
  </si>
  <si>
    <t xml:space="preserve">registrar pagos para llevar control financiero </t>
  </si>
  <si>
    <t xml:space="preserve">realizar pagos para cancelar los servicios recibidos </t>
  </si>
  <si>
    <t>generar facturas para formalizar transacciones</t>
  </si>
  <si>
    <t>consultar mis facturas para tener soporte de pago</t>
  </si>
  <si>
    <t>Yo como Administrador necesito gestionar roles del sistema para controlar los niveles de acceso</t>
  </si>
  <si>
    <t>04. Historial de servicios</t>
  </si>
  <si>
    <t>05. Solicitudes de servicio</t>
  </si>
  <si>
    <t>06.2 Seguimiento de servicios</t>
  </si>
  <si>
    <t>generar reportes de servicios</t>
  </si>
  <si>
    <t>para poder analizar el rendimiento del taller</t>
  </si>
  <si>
    <t>generar reportes de clientes y vehiculos</t>
  </si>
  <si>
    <t>Mecanico</t>
  </si>
  <si>
    <t>registrar avance del servicio para poder</t>
  </si>
  <si>
    <t xml:space="preserve"> monitorear el progreso del trabajo realizado</t>
  </si>
  <si>
    <t>Yo como mecanico necesito hacer seguimiento de servicios</t>
  </si>
  <si>
    <t xml:space="preserve"> programar mantenimientos</t>
  </si>
  <si>
    <t>dar continuidad al servicio del vehículo</t>
  </si>
  <si>
    <t>yo como mecanico necesito hacer seguimiento de servicios</t>
  </si>
  <si>
    <t>recibir recordatorios de mantenimiento</t>
  </si>
  <si>
    <t>no olvidar servicios programados del vehículo</t>
  </si>
  <si>
    <t>recibir alertas sobre el estado del servicio</t>
  </si>
  <si>
    <t>05.1 Gestión de solicitudes</t>
  </si>
  <si>
    <t>Yo como cliente necesito registrar solicitudes de servicio</t>
  </si>
  <si>
    <t xml:space="preserve"> registrar una solicitud</t>
  </si>
  <si>
    <t>solicitar revisión o diagnóstico de mi vehículo</t>
  </si>
  <si>
    <t>Yo como mecánico necesito gestionar solicitudes</t>
  </si>
  <si>
    <t>responder solicitudes</t>
  </si>
  <si>
    <t xml:space="preserve"> Yo como cliente necesito consultar solicitudes</t>
  </si>
  <si>
    <t xml:space="preserve"> consultar solicitudes</t>
  </si>
  <si>
    <t>hacer seguimiento al servicio solicitado</t>
  </si>
  <si>
    <t>Yo como usuario necesito comunicarme con el taller</t>
  </si>
  <si>
    <t>explicar mejor el problema del vehículo</t>
  </si>
  <si>
    <t>Yo como usuario necesito consultar mensajes</t>
  </si>
  <si>
    <t xml:space="preserve">consultar el historial de mensajes </t>
  </si>
  <si>
    <t>04.1 Gestión de Historial de servicios</t>
  </si>
  <si>
    <t>04.1 Gestión de Historial de sevicios</t>
  </si>
  <si>
    <t>Yo como mecánico necesito registrar órdenes de servicio</t>
  </si>
  <si>
    <t xml:space="preserve"> registrar órdenes de servicio</t>
  </si>
  <si>
    <t>documentar diagnósticos, reparaciones y mantenimientos realizados</t>
  </si>
  <si>
    <t>Yo como cliente necesito consultar historial de servicios</t>
  </si>
  <si>
    <t>consultar historial de servicios</t>
  </si>
  <si>
    <t>hacer seguimiento a los mantenimientos de mi vehículo</t>
  </si>
  <si>
    <t>Yo como mecánico necesito actualizar órdenes de servicio</t>
  </si>
  <si>
    <t>actualizar estado del servicio</t>
  </si>
  <si>
    <t>registrar el avance o finalización del trabajo</t>
  </si>
  <si>
    <t>03. Vehículos</t>
  </si>
  <si>
    <t>03.1 Gestión de Vehículos</t>
  </si>
  <si>
    <t>Yo como administrador necesito gestionar los vehículos</t>
  </si>
  <si>
    <t xml:space="preserve"> registrar vehículos </t>
  </si>
  <si>
    <t>llevar control organizado de los vehículos</t>
  </si>
  <si>
    <t>Yo como mecánico necesito consultar vehículos</t>
  </si>
  <si>
    <t xml:space="preserve">consultar vehículos </t>
  </si>
  <si>
    <t>revisar la información del vehículo antes del servicio</t>
  </si>
  <si>
    <t>Yo como administrador necesito gestionar los Vehículos</t>
  </si>
  <si>
    <t>editar vehículos</t>
  </si>
  <si>
    <t xml:space="preserve">mantener actualizada la información del vehículo </t>
  </si>
  <si>
    <t>Yo como administrador necesita gestionar los vehículos</t>
  </si>
  <si>
    <t>Se deben registrar como mínimo: placa, marca, modelo, año, color, propietario y estado.</t>
  </si>
  <si>
    <t>El vehículo debe quedar asociado obligatoriamente a un cliente existente.</t>
  </si>
  <si>
    <t>El sistema debe confirmar el registro exitoso y dejar el vehículo en estado activo.</t>
  </si>
  <si>
    <t>La búsqueda debe permitir filtrar por placa, propietario o marca</t>
  </si>
  <si>
    <t>La consulta debe mostrar datos generales y estado actual del vehículo</t>
  </si>
  <si>
    <t>Solo usuarios con permisos autorizados deben poder ver la información</t>
  </si>
  <si>
    <t>El sistema debe permitir modificar datos generales del vehículo excepto su identificador único (placa)</t>
  </si>
  <si>
    <t>Los cambios realizados deben quedar asociados al usuario que los hizo</t>
  </si>
  <si>
    <t>El estado del vehículo debe poder cambiarse entre Activo e Inactivo</t>
  </si>
  <si>
    <t>No se debe eliminar el vehículo si tiene historial de servicios asociado</t>
  </si>
  <si>
    <t>El registro debe incluir fecha, tipo de servicio, diagnóstico, reparación realizada y mecánico responsable</t>
  </si>
  <si>
    <t>Cada orden de servicio debe quedar asociada a un vehículo previamente registrado.</t>
  </si>
  <si>
    <t>El sistema no debe permitir guardar la orden de servicio si faltan campos obligatorios</t>
  </si>
  <si>
    <t>El cliente solo debe poder visualizar el historial de sus propios vehículos</t>
  </si>
  <si>
    <t>La información debe mostrarse en orden cronológico, destacando el servicio más reciente</t>
  </si>
  <si>
    <t>El mecánico debe poder agregar observaciones, trabajos realizados y actualizaciones del servicio.</t>
  </si>
  <si>
    <t>No se debe perder el registro histórico anterior al realizar una actualización</t>
  </si>
  <si>
    <t>La actualización debe quedar visible inmediatamente en el historial de servicios.</t>
  </si>
  <si>
    <t>La solicitud debe permitir ingresar la descripción del problema y seleccionar el vehículo asociado</t>
  </si>
  <si>
    <t>El sistema debe asignar fecha, hora y estado inicial a la solicitud.</t>
  </si>
  <si>
    <t>Al registrar la solicitud, el cliente debe recibir confirmación de envío.</t>
  </si>
  <si>
    <t>El mecánico debe poder visualizar el detalle de la solicitud y la información del vehículo</t>
  </si>
  <si>
    <t>La respuesta debe quedar almacenada y asociada a la solicitud correspondiente</t>
  </si>
  <si>
    <t>Al responder, el sistema debe actualizar el estado de la solicitud.</t>
  </si>
  <si>
    <t>El cliente debe poder ver el estado actual de cada solicitud registrada.</t>
  </si>
  <si>
    <t>La lista debe mostrar fecha, vehículo, mecánico asignado y último estado.</t>
  </si>
  <si>
    <t>Solo deben visualizarse las solicitudes asociadas al cliente autenticado.</t>
  </si>
  <si>
    <t>El sistema debe permitir adjuntar imágenes o archivos del vehículo.</t>
  </si>
  <si>
    <t>Los mensajes enviados deben quedar ordenados cronológicamente dentro de la solicitud</t>
  </si>
  <si>
    <t>Los mensajes deben visualizarse en orden cronológico ascendente o descendente configurable</t>
  </si>
  <si>
    <t>Solo usuarios vinculados a la solicitud deben poder acceder a esta conversación</t>
  </si>
  <si>
    <t>El reporte debe permitir filtro por rango de fechas, estado del servicio y mecánico.</t>
  </si>
  <si>
    <t>El sistema debe mostrar total de servicios, tiempos de atención y servicios finalizados</t>
  </si>
  <si>
    <t>El sistema debe permitir consultar número de clientes registrados y vehículos activos</t>
  </si>
  <si>
    <t>Los datos deben poder filtrarse por tipo de cliente o estado del vehículo</t>
  </si>
  <si>
    <t>La información exportada debe conservar los filtros aplicados</t>
  </si>
  <si>
    <t>El seguimiento debe permitir registrar fecha, observaciones y trabajos realizados</t>
  </si>
  <si>
    <t>Cada registro debe quedar vinculado a la orden de servicio del vehículo</t>
  </si>
  <si>
    <t>El sistema debe permitir consultar el historial completo del servicio.</t>
  </si>
  <si>
    <t>El sistema debe permitir registrar fecha y tipo de mantenimiento futuro</t>
  </si>
  <si>
    <t>La programación debe quedar visible para el cliente y el mecánico.</t>
  </si>
  <si>
    <t>Debe poder relacionarse una notificación o recordatorio con el mantenimiento programado.</t>
  </si>
  <si>
    <t>El sistema debe enviar recordatorios cuando exista un mantenimiento programado.</t>
  </si>
  <si>
    <t>La notificación debe incluir fecha, hora y vehículo relacionado</t>
  </si>
  <si>
    <t>estar informado sobre el avance del vehículo en el taller</t>
  </si>
  <si>
    <t>Cuando el estado del servicio cambie, el sistema debe generar una notificación al cliente</t>
  </si>
  <si>
    <t>La alerta debe identificar el vehículo, el servicio y la fecha de actualización.</t>
  </si>
  <si>
    <t>No se debe permitir inactivar un rol si está asociado a usuarios activos sin confirmación previa.</t>
  </si>
  <si>
    <t>El sistema debe validar correo electronico y contraseña antes de permitir el acceso.</t>
  </si>
  <si>
    <r>
      <t xml:space="preserve">Servicio Nacional de Aprendizaje SENA
Centro de Servicios y Gestión Empresarial
Tecnólogo en Análisis y Desarrollo de Software
</t>
    </r>
    <r>
      <rPr>
        <b/>
        <sz val="11"/>
        <color rgb="FF00A900"/>
        <rFont val="Calibri"/>
      </rPr>
      <t>PROYECTO Taller Gabriel Lasso</t>
    </r>
    <r>
      <rPr>
        <b/>
        <sz val="11"/>
        <color rgb="FFFF0000"/>
        <rFont val="Calibri"/>
      </rPr>
      <t xml:space="preserve"> (Sistema de reserva taller mecanico)</t>
    </r>
    <r>
      <rPr>
        <sz val="11"/>
        <color rgb="FF00A900"/>
        <rFont val="Calibri"/>
      </rPr>
      <t xml:space="preserve">
</t>
    </r>
    <r>
      <rPr>
        <b/>
        <sz val="14"/>
        <color rgb="FF00A900"/>
        <rFont val="Calibri"/>
      </rPr>
      <t>Épicas + Historias de Usuario + Criterios de Aceptación</t>
    </r>
    <r>
      <rPr>
        <sz val="11"/>
        <color rgb="FF00A900"/>
        <rFont val="Calibri"/>
      </rPr>
      <t xml:space="preserve">
</t>
    </r>
  </si>
  <si>
    <r>
      <t xml:space="preserve">Servicio Nacional de Aprendizaje SENA
Centro de Servicios y Gestión Empresarial
Tecnólogo en Análisis y Desarrollo de Software
</t>
    </r>
    <r>
      <rPr>
        <b/>
        <sz val="11"/>
        <color rgb="FF00A900"/>
        <rFont val="Calibri"/>
      </rPr>
      <t>PROYECTO  Taller Gabriel Lasso (Sistema de reserva taller mecanico)</t>
    </r>
    <r>
      <rPr>
        <sz val="11"/>
        <color rgb="FF00A900"/>
        <rFont val="Calibri"/>
      </rPr>
      <t xml:space="preserve">
</t>
    </r>
    <r>
      <rPr>
        <b/>
        <sz val="14"/>
        <color rgb="FF00A900"/>
        <rFont val="Calibri"/>
      </rPr>
      <t>Épicas</t>
    </r>
    <r>
      <rPr>
        <sz val="11"/>
        <color rgb="FF00A900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</si>
</sst>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rgb="FF00A900"/>
      <name val="Calibri"/>
    </font>
    <font>
      <sz val="11"/>
      <name val="Calibri"/>
    </font>
    <font>
      <b/>
      <sz val="10"/>
      <color rgb="FFFF3300"/>
      <name val="Calibri"/>
    </font>
    <font>
      <sz val="8"/>
      <color rgb="FF00A900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b/>
      <sz val="10"/>
      <color rgb="FF00A900"/>
      <name val="Calibri"/>
    </font>
    <font>
      <b/>
      <i/>
      <sz val="10"/>
      <color rgb="FF00B050"/>
      <name val="Calibri"/>
    </font>
    <font>
      <b/>
      <sz val="10"/>
      <color rgb="FF00B050"/>
      <name val="Calibri"/>
    </font>
    <font>
      <sz val="10"/>
      <color rgb="FF00A900"/>
      <name val="Calibri"/>
    </font>
    <font>
      <b/>
      <sz val="10"/>
      <color rgb="FF0000FF"/>
      <name val="Calibri"/>
    </font>
    <font>
      <b/>
      <sz val="11"/>
      <color rgb="FF0000FF"/>
      <name val="Calibri"/>
    </font>
    <font>
      <b/>
      <sz val="14"/>
      <color rgb="FF00A900"/>
      <name val="Calibri"/>
    </font>
    <font>
      <b/>
      <sz val="11"/>
      <color rgb="FF00A900"/>
      <name val="Calibri"/>
    </font>
    <font>
      <b/>
      <sz val="11"/>
      <color rgb="FFFF0000"/>
      <name val="Calibri"/>
    </font>
    <font>
      <b/>
      <sz val="10"/>
      <color rgb="FFFF0000"/>
      <name val="Calibri"/>
    </font>
    <font>
      <b/>
      <sz val="10"/>
      <color rgb="FFFFC000"/>
      <name val="Calibri"/>
    </font>
    <font>
      <b/>
      <sz val="10"/>
      <color rgb="FF0000CC"/>
      <name val="Calibri"/>
    </font>
    <font>
      <b/>
      <sz val="10"/>
      <color rgb="FFFF0066"/>
      <name val="Calibri"/>
    </font>
    <font>
      <b/>
      <sz val="10"/>
      <color rgb="FF990000"/>
      <name val="Calibri"/>
    </font>
    <font>
      <b/>
      <sz val="11"/>
      <color rgb="FF0000FF"/>
      <name val="Calibri"/>
      <family val="2"/>
    </font>
    <font>
      <sz val="11"/>
      <color rgb="FF00A9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6FFFF"/>
        <bgColor rgb="FF66FFFF"/>
      </patternFill>
    </fill>
    <fill>
      <patternFill patternType="solid">
        <fgColor rgb="FFDEEAF6"/>
        <bgColor rgb="FFDEEAF6"/>
      </patternFill>
    </fill>
    <fill>
      <patternFill patternType="solid">
        <fgColor rgb="FF67E3E3"/>
      </patternFill>
    </fill>
  </fills>
  <borders count="2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49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2" xfId="0" applyBorder="1"/>
    <xf numFmtId="0" fontId="12" fillId="5" borderId="16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/>
    </xf>
    <xf numFmtId="0" fontId="2" fillId="0" borderId="7" xfId="0" applyFont="1" applyBorder="1"/>
    <xf numFmtId="0" fontId="6" fillId="0" borderId="8" xfId="0" applyFont="1" applyBorder="1" applyAlignment="1">
      <alignment horizontal="center" vertical="center"/>
    </xf>
    <xf numFmtId="0" fontId="2" fillId="0" borderId="9" xfId="0" applyFont="1" applyBorder="1"/>
    <xf numFmtId="0" fontId="7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0" borderId="14" xfId="0" applyFont="1" applyBorder="1"/>
    <xf numFmtId="0" fontId="9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9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vertical="center"/>
    </xf>
    <xf numFmtId="0" fontId="9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76200</xdr:rowOff>
    </xdr:from>
    <xdr:ext cx="9144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95250</xdr:rowOff>
    </xdr:from>
    <xdr:ext cx="7239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04875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FF"/>
  </sheetPr>
  <dimension ref="A1:Z991"/>
  <sheetViews>
    <sheetView showGridLines="0" tabSelected="1" topLeftCell="A10" zoomScaleNormal="100" workbookViewId="0">
      <selection activeCell="F19" sqref="F19"/>
    </sheetView>
  </sheetViews>
  <sheetFormatPr baseColWidth="10" defaultColWidth="27.28515625" defaultRowHeight="15" customHeight="1" x14ac:dyDescent="0.25"/>
  <cols>
    <col min="1" max="1" width="15.5703125" bestFit="1" customWidth="1"/>
    <col min="2" max="2" width="25.140625" bestFit="1" customWidth="1"/>
    <col min="3" max="3" width="74.28515625" bestFit="1" customWidth="1"/>
    <col min="4" max="4" width="47.28515625" bestFit="1" customWidth="1"/>
  </cols>
  <sheetData>
    <row r="1" spans="1:26" ht="120" customHeight="1" thickTop="1" thickBot="1" x14ac:dyDescent="0.3">
      <c r="A1" s="48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  <c r="L1" s="2"/>
    </row>
    <row r="2" spans="1:26" x14ac:dyDescent="0.25">
      <c r="D2" s="3" t="s">
        <v>1</v>
      </c>
    </row>
    <row r="3" spans="1:26" ht="9" customHeight="1" x14ac:dyDescent="0.25"/>
    <row r="4" spans="1:26" ht="15.75" x14ac:dyDescent="0.25">
      <c r="A4" s="49" t="s">
        <v>2</v>
      </c>
      <c r="B4" s="50"/>
      <c r="C4" s="49" t="s">
        <v>3</v>
      </c>
      <c r="D4" s="50"/>
    </row>
    <row r="5" spans="1:26" ht="48.75" customHeight="1" x14ac:dyDescent="0.25">
      <c r="A5" s="51" t="s">
        <v>259</v>
      </c>
      <c r="B5" s="52"/>
      <c r="C5" s="53" t="s">
        <v>276</v>
      </c>
      <c r="D5" s="52"/>
      <c r="G5" s="4"/>
    </row>
    <row r="6" spans="1:26" ht="26.25" customHeight="1" x14ac:dyDescent="0.25">
      <c r="A6" s="58" t="s">
        <v>4</v>
      </c>
      <c r="B6" s="58" t="s">
        <v>5</v>
      </c>
      <c r="C6" s="56" t="s">
        <v>6</v>
      </c>
      <c r="D6" s="56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9"/>
      <c r="B7" s="57"/>
      <c r="C7" s="57"/>
      <c r="D7" s="57"/>
    </row>
    <row r="8" spans="1:26" x14ac:dyDescent="0.25">
      <c r="A8" s="60" t="s">
        <v>8</v>
      </c>
      <c r="B8" s="21" t="s">
        <v>9</v>
      </c>
      <c r="C8" s="22" t="s">
        <v>260</v>
      </c>
      <c r="D8" s="21" t="s">
        <v>261</v>
      </c>
    </row>
    <row r="9" spans="1:26" ht="34.5" customHeight="1" x14ac:dyDescent="0.25">
      <c r="A9" s="61"/>
      <c r="B9" s="21" t="s">
        <v>10</v>
      </c>
      <c r="C9" s="22" t="s">
        <v>262</v>
      </c>
      <c r="D9" s="21" t="s">
        <v>263</v>
      </c>
    </row>
    <row r="10" spans="1:26" ht="30" x14ac:dyDescent="0.25">
      <c r="A10" s="61"/>
      <c r="B10" s="21" t="s">
        <v>11</v>
      </c>
      <c r="C10" s="22" t="s">
        <v>264</v>
      </c>
      <c r="D10" s="21" t="s">
        <v>265</v>
      </c>
    </row>
    <row r="11" spans="1:26" ht="30" x14ac:dyDescent="0.25">
      <c r="A11" s="61"/>
      <c r="B11" s="21" t="s">
        <v>266</v>
      </c>
      <c r="C11" s="22" t="s">
        <v>267</v>
      </c>
      <c r="D11" s="21" t="s">
        <v>268</v>
      </c>
    </row>
    <row r="12" spans="1:26" ht="30" x14ac:dyDescent="0.25">
      <c r="A12" s="61"/>
      <c r="B12" s="21" t="s">
        <v>269</v>
      </c>
      <c r="C12" s="22" t="s">
        <v>270</v>
      </c>
      <c r="D12" s="21" t="s">
        <v>271</v>
      </c>
    </row>
    <row r="13" spans="1:26" ht="45" x14ac:dyDescent="0.25">
      <c r="A13" s="61"/>
      <c r="B13" s="21" t="s">
        <v>272</v>
      </c>
      <c r="C13" s="22" t="s">
        <v>273</v>
      </c>
      <c r="D13" s="21" t="s">
        <v>274</v>
      </c>
    </row>
    <row r="14" spans="1:26" ht="30" x14ac:dyDescent="0.25">
      <c r="A14" s="61"/>
      <c r="B14" s="21" t="s">
        <v>275</v>
      </c>
      <c r="C14" s="22" t="s">
        <v>277</v>
      </c>
      <c r="D14" s="21" t="s">
        <v>278</v>
      </c>
    </row>
    <row r="15" spans="1:26" ht="45" x14ac:dyDescent="0.25">
      <c r="A15" s="61"/>
      <c r="B15" s="21" t="s">
        <v>282</v>
      </c>
      <c r="C15" s="22" t="s">
        <v>283</v>
      </c>
      <c r="D15" s="21" t="s">
        <v>284</v>
      </c>
    </row>
    <row r="16" spans="1:26" ht="30" x14ac:dyDescent="0.25">
      <c r="A16" s="61"/>
      <c r="B16" s="21" t="s">
        <v>285</v>
      </c>
      <c r="C16" s="22" t="s">
        <v>286</v>
      </c>
      <c r="D16" s="21" t="s">
        <v>287</v>
      </c>
    </row>
    <row r="17" spans="1:4" ht="30" x14ac:dyDescent="0.25">
      <c r="A17" s="61"/>
      <c r="B17" s="21" t="s">
        <v>288</v>
      </c>
      <c r="C17" s="22" t="s">
        <v>289</v>
      </c>
      <c r="D17" s="21" t="s">
        <v>290</v>
      </c>
    </row>
    <row r="18" spans="1:4" ht="45" x14ac:dyDescent="0.25">
      <c r="A18" s="61"/>
      <c r="B18" s="21" t="s">
        <v>279</v>
      </c>
      <c r="C18" s="22" t="s">
        <v>280</v>
      </c>
      <c r="D18" s="21" t="s">
        <v>281</v>
      </c>
    </row>
    <row r="19" spans="1:4" ht="30" x14ac:dyDescent="0.25">
      <c r="A19" s="54" t="s">
        <v>12</v>
      </c>
      <c r="B19" s="21" t="s">
        <v>291</v>
      </c>
      <c r="C19" s="21" t="s">
        <v>292</v>
      </c>
      <c r="D19" s="21" t="s">
        <v>293</v>
      </c>
    </row>
    <row r="20" spans="1:4" ht="30" x14ac:dyDescent="0.25">
      <c r="A20" s="54"/>
      <c r="B20" s="21" t="s">
        <v>294</v>
      </c>
      <c r="C20" s="21" t="s">
        <v>295</v>
      </c>
      <c r="D20" s="21" t="s">
        <v>296</v>
      </c>
    </row>
    <row r="21" spans="1:4" ht="30" x14ac:dyDescent="0.25">
      <c r="A21" s="54"/>
      <c r="B21" s="21" t="s">
        <v>297</v>
      </c>
      <c r="C21" s="21" t="s">
        <v>298</v>
      </c>
      <c r="D21" s="21" t="s">
        <v>299</v>
      </c>
    </row>
    <row r="22" spans="1:4" ht="45" x14ac:dyDescent="0.25">
      <c r="A22" s="54"/>
      <c r="B22" s="21" t="s">
        <v>300</v>
      </c>
      <c r="C22" s="21" t="s">
        <v>301</v>
      </c>
      <c r="D22" s="21" t="s">
        <v>302</v>
      </c>
    </row>
    <row r="23" spans="1:4" ht="15.75" customHeight="1" x14ac:dyDescent="0.25">
      <c r="A23" s="54"/>
      <c r="B23" s="21" t="s">
        <v>303</v>
      </c>
      <c r="C23" s="21" t="s">
        <v>304</v>
      </c>
      <c r="D23" s="21" t="s">
        <v>305</v>
      </c>
    </row>
    <row r="24" spans="1:4" ht="30" x14ac:dyDescent="0.25">
      <c r="A24" s="55" t="s">
        <v>306</v>
      </c>
      <c r="B24" s="21" t="s">
        <v>282</v>
      </c>
      <c r="C24" s="21" t="s">
        <v>307</v>
      </c>
      <c r="D24" s="21" t="s">
        <v>308</v>
      </c>
    </row>
    <row r="25" spans="1:4" ht="30" x14ac:dyDescent="0.25">
      <c r="A25" s="55"/>
      <c r="B25" s="21" t="s">
        <v>309</v>
      </c>
      <c r="C25" s="21" t="s">
        <v>310</v>
      </c>
      <c r="D25" s="21" t="s">
        <v>311</v>
      </c>
    </row>
    <row r="26" spans="1:4" ht="30" x14ac:dyDescent="0.25">
      <c r="A26" s="55"/>
      <c r="B26" s="21" t="s">
        <v>275</v>
      </c>
      <c r="C26" s="21" t="s">
        <v>312</v>
      </c>
      <c r="D26" s="21" t="s">
        <v>313</v>
      </c>
    </row>
    <row r="27" spans="1:4" ht="30" x14ac:dyDescent="0.25">
      <c r="A27" s="55"/>
      <c r="B27" s="21" t="s">
        <v>314</v>
      </c>
      <c r="C27" s="21" t="s">
        <v>315</v>
      </c>
      <c r="D27" s="21" t="s">
        <v>316</v>
      </c>
    </row>
    <row r="28" spans="1:4" ht="15.75" customHeight="1" x14ac:dyDescent="0.25">
      <c r="A28" s="6"/>
      <c r="B28" s="6"/>
      <c r="C28" s="6"/>
      <c r="D28" s="6"/>
    </row>
    <row r="29" spans="1:4" ht="15.75" customHeight="1" x14ac:dyDescent="0.25">
      <c r="A29" s="6"/>
      <c r="B29" s="6"/>
      <c r="C29" s="6"/>
      <c r="D29" s="6"/>
    </row>
    <row r="30" spans="1:4" ht="15.75" customHeight="1" x14ac:dyDescent="0.25">
      <c r="A30" s="6"/>
      <c r="B30" s="6"/>
      <c r="C30" s="6"/>
      <c r="D30" s="6"/>
    </row>
    <row r="31" spans="1:4" ht="15.75" customHeight="1" x14ac:dyDescent="0.25">
      <c r="A31" s="6"/>
      <c r="B31" s="6"/>
      <c r="C31" s="6"/>
      <c r="D31" s="6"/>
    </row>
    <row r="32" spans="1:4" ht="15.75" customHeight="1" x14ac:dyDescent="0.25">
      <c r="A32" s="6"/>
      <c r="B32" s="6"/>
      <c r="C32" s="6"/>
      <c r="D32" s="6"/>
    </row>
    <row r="33" spans="1:4" ht="15.75" customHeight="1" x14ac:dyDescent="0.25">
      <c r="A33" s="6"/>
      <c r="B33" s="6"/>
      <c r="C33" s="6"/>
      <c r="D33" s="6"/>
    </row>
    <row r="34" spans="1:4" ht="15.75" customHeight="1" x14ac:dyDescent="0.25">
      <c r="A34" s="6"/>
      <c r="B34" s="6"/>
      <c r="C34" s="6"/>
      <c r="D34" s="6"/>
    </row>
    <row r="35" spans="1:4" ht="15.75" customHeight="1" x14ac:dyDescent="0.25">
      <c r="A35" s="6"/>
      <c r="B35" s="6"/>
      <c r="C35" s="6"/>
      <c r="D35" s="6"/>
    </row>
    <row r="36" spans="1:4" ht="15.75" customHeight="1" x14ac:dyDescent="0.25">
      <c r="A36" s="6"/>
      <c r="B36" s="6"/>
      <c r="C36" s="6"/>
      <c r="D36" s="6"/>
    </row>
    <row r="37" spans="1:4" ht="15.75" customHeight="1" x14ac:dyDescent="0.25">
      <c r="A37" s="6"/>
      <c r="B37" s="6"/>
      <c r="C37" s="6"/>
      <c r="D37" s="6"/>
    </row>
    <row r="38" spans="1:4" ht="15.75" customHeight="1" x14ac:dyDescent="0.25">
      <c r="A38" s="6"/>
      <c r="B38" s="6"/>
      <c r="C38" s="6"/>
      <c r="D38" s="6"/>
    </row>
    <row r="39" spans="1:4" ht="15.75" customHeight="1" x14ac:dyDescent="0.25">
      <c r="A39" s="6"/>
      <c r="B39" s="6"/>
      <c r="C39" s="6"/>
      <c r="D39" s="6"/>
    </row>
    <row r="40" spans="1:4" ht="15.75" customHeight="1" x14ac:dyDescent="0.25">
      <c r="A40" s="6"/>
      <c r="B40" s="6"/>
      <c r="C40" s="6"/>
      <c r="D40" s="6"/>
    </row>
    <row r="41" spans="1:4" ht="15.75" customHeight="1" x14ac:dyDescent="0.25">
      <c r="A41" s="6"/>
      <c r="B41" s="6"/>
      <c r="C41" s="6"/>
      <c r="D41" s="6"/>
    </row>
    <row r="42" spans="1:4" ht="15.75" customHeight="1" x14ac:dyDescent="0.25">
      <c r="A42" s="6"/>
      <c r="B42" s="6"/>
      <c r="C42" s="6"/>
      <c r="D42" s="6"/>
    </row>
    <row r="43" spans="1:4" ht="15.75" customHeight="1" x14ac:dyDescent="0.25">
      <c r="A43" s="6"/>
      <c r="B43" s="6"/>
      <c r="C43" s="6"/>
      <c r="D43" s="6"/>
    </row>
    <row r="44" spans="1:4" ht="15.75" customHeight="1" x14ac:dyDescent="0.25">
      <c r="A44" s="6"/>
      <c r="B44" s="6"/>
      <c r="C44" s="6"/>
      <c r="D44" s="6"/>
    </row>
    <row r="45" spans="1:4" ht="15.75" customHeight="1" x14ac:dyDescent="0.25">
      <c r="A45" s="6"/>
      <c r="B45" s="6"/>
      <c r="C45" s="6"/>
      <c r="D45" s="6"/>
    </row>
    <row r="46" spans="1:4" ht="15.75" customHeight="1" x14ac:dyDescent="0.25">
      <c r="A46" s="6"/>
      <c r="B46" s="6"/>
      <c r="C46" s="6"/>
      <c r="D46" s="6"/>
    </row>
    <row r="47" spans="1:4" ht="15.75" customHeight="1" x14ac:dyDescent="0.25">
      <c r="A47" s="6"/>
      <c r="B47" s="6"/>
      <c r="C47" s="6"/>
      <c r="D47" s="6"/>
    </row>
    <row r="48" spans="1:4" ht="15.75" customHeight="1" x14ac:dyDescent="0.25">
      <c r="A48" s="6"/>
      <c r="B48" s="6"/>
      <c r="C48" s="6"/>
      <c r="D48" s="6"/>
    </row>
    <row r="49" spans="1:4" ht="15.75" customHeight="1" x14ac:dyDescent="0.25">
      <c r="A49" s="6"/>
      <c r="B49" s="6"/>
      <c r="C49" s="6"/>
      <c r="D49" s="6"/>
    </row>
    <row r="50" spans="1:4" ht="15.75" customHeight="1" x14ac:dyDescent="0.25">
      <c r="A50" s="6"/>
      <c r="B50" s="6"/>
      <c r="C50" s="6"/>
      <c r="D50" s="6"/>
    </row>
    <row r="51" spans="1:4" ht="15.75" customHeight="1" x14ac:dyDescent="0.25">
      <c r="A51" s="6"/>
      <c r="B51" s="6"/>
      <c r="C51" s="6"/>
      <c r="D51" s="6"/>
    </row>
    <row r="52" spans="1:4" ht="15.75" customHeight="1" x14ac:dyDescent="0.25">
      <c r="A52" s="6"/>
      <c r="B52" s="6"/>
      <c r="C52" s="6"/>
      <c r="D52" s="6"/>
    </row>
    <row r="53" spans="1:4" ht="15.75" customHeight="1" x14ac:dyDescent="0.25">
      <c r="A53" s="6"/>
      <c r="B53" s="6"/>
      <c r="C53" s="6"/>
      <c r="D53" s="6"/>
    </row>
    <row r="54" spans="1:4" ht="15.75" customHeight="1" x14ac:dyDescent="0.25">
      <c r="A54" s="6"/>
      <c r="B54" s="6"/>
      <c r="C54" s="6"/>
      <c r="D54" s="6"/>
    </row>
    <row r="55" spans="1:4" ht="15.75" customHeight="1" x14ac:dyDescent="0.25">
      <c r="A55" s="6"/>
      <c r="B55" s="6"/>
      <c r="C55" s="6"/>
      <c r="D55" s="6"/>
    </row>
    <row r="56" spans="1:4" ht="15.75" customHeight="1" x14ac:dyDescent="0.25">
      <c r="A56" s="6"/>
      <c r="B56" s="6"/>
      <c r="C56" s="6"/>
      <c r="D56" s="6"/>
    </row>
    <row r="57" spans="1:4" ht="15.75" customHeight="1" x14ac:dyDescent="0.25">
      <c r="A57" s="6"/>
      <c r="B57" s="6"/>
      <c r="C57" s="6"/>
      <c r="D57" s="6"/>
    </row>
    <row r="58" spans="1:4" ht="15.75" customHeight="1" x14ac:dyDescent="0.25">
      <c r="A58" s="6"/>
      <c r="B58" s="6"/>
      <c r="C58" s="6"/>
      <c r="D58" s="6"/>
    </row>
    <row r="59" spans="1:4" ht="15.75" customHeight="1" x14ac:dyDescent="0.25">
      <c r="A59" s="6"/>
      <c r="B59" s="6"/>
      <c r="C59" s="6"/>
      <c r="D59" s="6"/>
    </row>
    <row r="60" spans="1:4" ht="15.75" customHeight="1" x14ac:dyDescent="0.25">
      <c r="A60" s="6"/>
      <c r="B60" s="6"/>
      <c r="C60" s="6"/>
      <c r="D60" s="6"/>
    </row>
    <row r="61" spans="1:4" ht="15.75" customHeight="1" x14ac:dyDescent="0.25">
      <c r="A61" s="6"/>
      <c r="B61" s="6"/>
      <c r="C61" s="6"/>
      <c r="D61" s="6"/>
    </row>
    <row r="62" spans="1:4" ht="15.75" customHeight="1" x14ac:dyDescent="0.25">
      <c r="A62" s="6"/>
      <c r="B62" s="6"/>
      <c r="C62" s="6"/>
      <c r="D62" s="6"/>
    </row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12">
    <mergeCell ref="A19:A23"/>
    <mergeCell ref="A24:A27"/>
    <mergeCell ref="C6:C7"/>
    <mergeCell ref="D6:D7"/>
    <mergeCell ref="A6:A7"/>
    <mergeCell ref="B6:B7"/>
    <mergeCell ref="A8:A18"/>
    <mergeCell ref="A1:D1"/>
    <mergeCell ref="A4:B4"/>
    <mergeCell ref="C4:D4"/>
    <mergeCell ref="A5:B5"/>
    <mergeCell ref="C5:D5"/>
  </mergeCells>
  <pageMargins left="0.70866141732283472" right="0.70866141732283472" top="0.74803149606299213" bottom="0.74803149606299213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FF"/>
  </sheetPr>
  <dimension ref="A1:Z1000"/>
  <sheetViews>
    <sheetView workbookViewId="0">
      <selection sqref="A1:G1"/>
    </sheetView>
  </sheetViews>
  <sheetFormatPr baseColWidth="10" defaultColWidth="14.42578125" defaultRowHeight="15" customHeight="1" x14ac:dyDescent="0.25"/>
  <cols>
    <col min="1" max="1" width="23.7109375" customWidth="1"/>
    <col min="2" max="2" width="30.140625" customWidth="1"/>
    <col min="3" max="3" width="40.5703125" customWidth="1"/>
    <col min="4" max="4" width="10.85546875" customWidth="1"/>
    <col min="5" max="5" width="15.28515625" customWidth="1"/>
    <col min="6" max="6" width="10.5703125" customWidth="1"/>
    <col min="7" max="7" width="31.85546875" customWidth="1"/>
    <col min="8" max="26" width="11.42578125" customWidth="1"/>
  </cols>
  <sheetData>
    <row r="1" spans="1:26" ht="81" customHeight="1" x14ac:dyDescent="0.25">
      <c r="A1" s="71" t="s">
        <v>452</v>
      </c>
      <c r="B1" s="72"/>
      <c r="C1" s="72"/>
      <c r="D1" s="72"/>
      <c r="E1" s="72"/>
      <c r="F1" s="72"/>
      <c r="G1" s="72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8"/>
      <c r="C2" s="8"/>
      <c r="D2" s="9"/>
      <c r="E2" s="8"/>
      <c r="F2" s="9"/>
      <c r="G2" s="8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25" t="s">
        <v>13</v>
      </c>
      <c r="B3" s="25" t="s">
        <v>14</v>
      </c>
      <c r="C3" s="26" t="s">
        <v>15</v>
      </c>
      <c r="D3" s="27" t="s">
        <v>16</v>
      </c>
      <c r="E3" s="28" t="s">
        <v>17</v>
      </c>
      <c r="F3" s="27" t="s">
        <v>18</v>
      </c>
      <c r="G3" s="28" t="s">
        <v>19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1.5" customHeight="1" x14ac:dyDescent="0.25">
      <c r="A4" s="63" t="s">
        <v>20</v>
      </c>
      <c r="B4" s="23" t="s">
        <v>130</v>
      </c>
      <c r="C4" s="23" t="str">
        <f>D4&amp;" "&amp;E4&amp;" "&amp;F4&amp;" "&amp;G4&amp;""</f>
        <v>Yo como Administrador necesito gestionar roles del sistema para controlar los niveles de acceso</v>
      </c>
      <c r="D4" s="24" t="s">
        <v>16</v>
      </c>
      <c r="E4" s="23" t="s">
        <v>8</v>
      </c>
      <c r="F4" s="24" t="s">
        <v>21</v>
      </c>
      <c r="G4" s="23" t="s">
        <v>317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1.5" customHeight="1" x14ac:dyDescent="0.25">
      <c r="A5" s="63"/>
      <c r="B5" s="23" t="s">
        <v>139</v>
      </c>
      <c r="C5" s="23" t="str">
        <f>D5&amp;" "&amp;E5&amp;" "&amp;F5&amp;" "&amp;G5&amp;""</f>
        <v>Yo como Administrador necesito configurar permisos para garantizar la seguridad del sistema</v>
      </c>
      <c r="D5" s="24" t="s">
        <v>16</v>
      </c>
      <c r="E5" s="23" t="s">
        <v>8</v>
      </c>
      <c r="F5" s="24" t="s">
        <v>21</v>
      </c>
      <c r="G5" s="23" t="s">
        <v>318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1.5" customHeight="1" x14ac:dyDescent="0.25">
      <c r="A6" s="63" t="s">
        <v>22</v>
      </c>
      <c r="B6" s="66" t="s">
        <v>132</v>
      </c>
      <c r="C6" s="23" t="str">
        <f t="shared" ref="C6:C12" si="0">D6&amp;" "&amp;E6&amp;" "&amp;F6&amp;" "&amp;G6&amp;""</f>
        <v>Yo como Administrador necesito administrar usuarios</v>
      </c>
      <c r="D6" s="24" t="s">
        <v>16</v>
      </c>
      <c r="E6" s="23" t="s">
        <v>8</v>
      </c>
      <c r="F6" s="24" t="s">
        <v>21</v>
      </c>
      <c r="G6" s="23" t="s">
        <v>145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1.5" customHeight="1" x14ac:dyDescent="0.25">
      <c r="A7" s="63"/>
      <c r="B7" s="66"/>
      <c r="C7" s="23" t="str">
        <f t="shared" si="0"/>
        <v>Yo como Cliente necesito gestionar mi información personal</v>
      </c>
      <c r="D7" s="24" t="s">
        <v>16</v>
      </c>
      <c r="E7" s="23" t="s">
        <v>23</v>
      </c>
      <c r="F7" s="24" t="s">
        <v>21</v>
      </c>
      <c r="G7" s="23" t="s">
        <v>319</v>
      </c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5" customHeight="1" x14ac:dyDescent="0.25">
      <c r="A8" s="63"/>
      <c r="B8" s="66" t="s">
        <v>134</v>
      </c>
      <c r="C8" s="23" t="str">
        <f t="shared" si="0"/>
        <v>Yo como Administrador necesito controlar accesos para garantizar la seguridad</v>
      </c>
      <c r="D8" s="24" t="s">
        <v>16</v>
      </c>
      <c r="E8" s="23" t="s">
        <v>8</v>
      </c>
      <c r="F8" s="24" t="s">
        <v>21</v>
      </c>
      <c r="G8" s="23" t="s">
        <v>320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1.5" customHeight="1" x14ac:dyDescent="0.25">
      <c r="A9" s="63"/>
      <c r="B9" s="66"/>
      <c r="C9" s="23" t="str">
        <f t="shared" si="0"/>
        <v>Yo como Cliente necesito iniciar sesión para acceder a las funcionalidades del sistema</v>
      </c>
      <c r="D9" s="24" t="s">
        <v>16</v>
      </c>
      <c r="E9" s="23" t="s">
        <v>23</v>
      </c>
      <c r="F9" s="24" t="s">
        <v>21</v>
      </c>
      <c r="G9" s="23" t="s">
        <v>321</v>
      </c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6.75" customHeight="1" x14ac:dyDescent="0.25">
      <c r="A10" s="63" t="s">
        <v>322</v>
      </c>
      <c r="B10" s="23" t="s">
        <v>323</v>
      </c>
      <c r="C10" s="23" t="str">
        <f t="shared" si="0"/>
        <v>Yo como Administrador necesito gestionar la información de los clientes</v>
      </c>
      <c r="D10" s="24" t="s">
        <v>16</v>
      </c>
      <c r="E10" s="23" t="s">
        <v>8</v>
      </c>
      <c r="F10" s="24" t="s">
        <v>21</v>
      </c>
      <c r="G10" s="23" t="s">
        <v>325</v>
      </c>
      <c r="H10" s="6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6" customHeight="1" x14ac:dyDescent="0.25">
      <c r="A11" s="63"/>
      <c r="B11" s="23" t="s">
        <v>324</v>
      </c>
      <c r="C11" s="23" t="str">
        <f t="shared" si="0"/>
        <v xml:space="preserve">Yo como Cliente necesito registrar mi vehículo para acceder a los servicios </v>
      </c>
      <c r="D11" s="24" t="s">
        <v>16</v>
      </c>
      <c r="E11" s="23" t="s">
        <v>23</v>
      </c>
      <c r="F11" s="24" t="s">
        <v>21</v>
      </c>
      <c r="G11" s="23" t="s">
        <v>326</v>
      </c>
      <c r="H11" s="6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3.5" customHeight="1" x14ac:dyDescent="0.25">
      <c r="A12" s="63" t="s">
        <v>327</v>
      </c>
      <c r="B12" s="66" t="s">
        <v>328</v>
      </c>
      <c r="C12" s="23" t="str">
        <f t="shared" si="0"/>
        <v xml:space="preserve">Yo como Administrador necesito gestionar ordenes de trabajo para controlar los procesos de reparación </v>
      </c>
      <c r="D12" s="24" t="s">
        <v>16</v>
      </c>
      <c r="E12" s="23" t="s">
        <v>8</v>
      </c>
      <c r="F12" s="24" t="s">
        <v>21</v>
      </c>
      <c r="G12" s="23" t="s">
        <v>329</v>
      </c>
      <c r="H12" s="6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6" customHeight="1" x14ac:dyDescent="0.25">
      <c r="A13" s="63"/>
      <c r="B13" s="66"/>
      <c r="C13" s="23" t="str">
        <f>D13&amp;" "&amp;E13&amp;" "&amp;F13&amp;" "&amp;G13&amp;""</f>
        <v>Yo como Cliente necesito consultar el estado de mi vehículo para conocer el progreso del servicio</v>
      </c>
      <c r="D13" s="24" t="s">
        <v>16</v>
      </c>
      <c r="E13" s="23" t="s">
        <v>23</v>
      </c>
      <c r="F13" s="24" t="s">
        <v>21</v>
      </c>
      <c r="G13" s="23" t="s">
        <v>330</v>
      </c>
      <c r="H13" s="6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6.75" customHeight="1" x14ac:dyDescent="0.25">
      <c r="A14" s="63" t="s">
        <v>331</v>
      </c>
      <c r="B14" s="66" t="s">
        <v>332</v>
      </c>
      <c r="C14" s="23" t="str">
        <f>D14&amp;" "&amp;E14&amp;" "&amp;F14&amp;" "&amp;G14&amp;""</f>
        <v>Yo como Administrador necesito gestionar los servicios ofrecidos para mantener actualizado la oferta del taller</v>
      </c>
      <c r="D14" s="24" t="s">
        <v>16</v>
      </c>
      <c r="E14" s="23" t="s">
        <v>8</v>
      </c>
      <c r="F14" s="24" t="s">
        <v>21</v>
      </c>
      <c r="G14" s="23" t="s">
        <v>333</v>
      </c>
      <c r="H14" s="6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3.75" customHeight="1" x14ac:dyDescent="0.25">
      <c r="A15" s="63"/>
      <c r="B15" s="66"/>
      <c r="C15" s="23" t="str">
        <f>D15&amp;" "&amp;E15&amp;" "&amp;F15&amp;" "&amp;G15</f>
        <v xml:space="preserve">Yo como Cliente necesito consultar los servicios disponibles para elegir el que necesito </v>
      </c>
      <c r="D15" s="24" t="s">
        <v>16</v>
      </c>
      <c r="E15" s="23" t="s">
        <v>23</v>
      </c>
      <c r="F15" s="24" t="s">
        <v>21</v>
      </c>
      <c r="G15" s="23" t="s">
        <v>334</v>
      </c>
      <c r="H15" s="6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3.75" customHeight="1" x14ac:dyDescent="0.25">
      <c r="A16" s="68" t="s">
        <v>335</v>
      </c>
      <c r="B16" s="64" t="s">
        <v>336</v>
      </c>
      <c r="C16" s="23" t="str">
        <f>D16&amp;" "&amp;E16&amp;" "&amp;F16&amp;" "&amp;G16</f>
        <v xml:space="preserve">Yo como Administrador necesito gestionar repuestos para controlar el inventario </v>
      </c>
      <c r="D16" s="24" t="s">
        <v>16</v>
      </c>
      <c r="E16" s="23" t="s">
        <v>8</v>
      </c>
      <c r="F16" s="24" t="s">
        <v>21</v>
      </c>
      <c r="G16" s="23" t="s">
        <v>338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38.25" customHeight="1" x14ac:dyDescent="0.25">
      <c r="A17" s="69"/>
      <c r="B17" s="65"/>
      <c r="C17" s="23" t="str">
        <f>D17&amp;" "&amp;E17&amp;" "&amp;F17&amp;" "&amp;G17&amp;""</f>
        <v>Yo como Empleado necesito registrar repuestos utilizados para llevar un control de los materiales</v>
      </c>
      <c r="D17" s="24" t="s">
        <v>16</v>
      </c>
      <c r="E17" s="23" t="s">
        <v>339</v>
      </c>
      <c r="F17" s="24" t="s">
        <v>21</v>
      </c>
      <c r="G17" s="23" t="s">
        <v>341</v>
      </c>
      <c r="H17" s="6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7.5" customHeight="1" x14ac:dyDescent="0.25">
      <c r="A18" s="69"/>
      <c r="B18" s="23" t="s">
        <v>337</v>
      </c>
      <c r="C18" s="23" t="str">
        <f>D18&amp;" "&amp;E18&amp;" "&amp;F18&amp;" "&amp;G18&amp;""</f>
        <v xml:space="preserve">Yo como Administrador necesito gestionar proveedores asegurar el suministro de repuestos </v>
      </c>
      <c r="D18" s="24" t="s">
        <v>16</v>
      </c>
      <c r="E18" s="23" t="s">
        <v>8</v>
      </c>
      <c r="F18" s="24" t="s">
        <v>21</v>
      </c>
      <c r="G18" s="23" t="s">
        <v>340</v>
      </c>
      <c r="H18" s="6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8.5" customHeight="1" x14ac:dyDescent="0.25">
      <c r="A19" s="68" t="s">
        <v>342</v>
      </c>
      <c r="B19" s="64" t="s">
        <v>343</v>
      </c>
      <c r="C19" s="23" t="str">
        <f>D19&amp;" "&amp;E19&amp;" "&amp;F19&amp;" "&amp;G19</f>
        <v xml:space="preserve">Yo como Administrador necesito registrar pagos para llevar control financiero </v>
      </c>
      <c r="D19" s="24" t="s">
        <v>16</v>
      </c>
      <c r="E19" s="23" t="s">
        <v>8</v>
      </c>
      <c r="F19" s="24" t="s">
        <v>21</v>
      </c>
      <c r="G19" s="23" t="s">
        <v>345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6.75" customHeight="1" x14ac:dyDescent="0.25">
      <c r="A20" s="69"/>
      <c r="B20" s="65"/>
      <c r="C20" s="23" t="str">
        <f>D20&amp;" "&amp;E20&amp;" "&amp;F20&amp;" "&amp;G20&amp;""</f>
        <v xml:space="preserve">Yo como Cliente necesito realizar pagos para cancelar los servicios recibidos </v>
      </c>
      <c r="D20" s="24" t="s">
        <v>16</v>
      </c>
      <c r="E20" s="23" t="s">
        <v>23</v>
      </c>
      <c r="F20" s="24" t="s">
        <v>21</v>
      </c>
      <c r="G20" s="23" t="s">
        <v>346</v>
      </c>
      <c r="H20" s="6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36.75" customHeight="1" x14ac:dyDescent="0.25">
      <c r="A21" s="69"/>
      <c r="B21" s="64" t="s">
        <v>344</v>
      </c>
      <c r="C21" s="23" t="str">
        <f>D21&amp;" "&amp;E21&amp;" "&amp;F21&amp;" "&amp;G21&amp;""</f>
        <v>Yo como Administrador necesito generar facturas para formalizar transacciones</v>
      </c>
      <c r="D21" s="24" t="s">
        <v>16</v>
      </c>
      <c r="E21" s="23" t="s">
        <v>8</v>
      </c>
      <c r="F21" s="24" t="s">
        <v>21</v>
      </c>
      <c r="G21" s="23" t="s">
        <v>347</v>
      </c>
      <c r="H21" s="6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8.5" customHeight="1" x14ac:dyDescent="0.25">
      <c r="A22" s="70"/>
      <c r="B22" s="65"/>
      <c r="C22" s="23" t="str">
        <f>D22&amp;" "&amp;E22&amp;" "&amp;F22&amp;" "&amp;G22&amp;""</f>
        <v>Yo como Cliente necesito consultar mis facturas para tener soporte de pago</v>
      </c>
      <c r="D22" s="24" t="s">
        <v>16</v>
      </c>
      <c r="E22" s="23" t="s">
        <v>23</v>
      </c>
      <c r="F22" s="24" t="s">
        <v>21</v>
      </c>
      <c r="G22" s="23" t="s">
        <v>348</v>
      </c>
      <c r="H22" s="6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8.5" customHeight="1" x14ac:dyDescent="0.25">
      <c r="A23" s="8"/>
      <c r="B23" s="8"/>
      <c r="C23" s="8"/>
      <c r="D23" s="9"/>
      <c r="E23" s="8"/>
      <c r="F23" s="9"/>
      <c r="G23" s="8"/>
      <c r="H23" s="6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8.5" customHeight="1" x14ac:dyDescent="0.25">
      <c r="A24" s="8"/>
      <c r="B24" s="8"/>
      <c r="C24" s="8"/>
      <c r="D24" s="9"/>
      <c r="E24" s="8"/>
      <c r="F24" s="9"/>
      <c r="G24" s="8"/>
      <c r="H24" s="6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3.75" customHeight="1" x14ac:dyDescent="0.25">
      <c r="A25" s="8"/>
      <c r="B25" s="8"/>
      <c r="C25" s="8"/>
      <c r="D25" s="9"/>
      <c r="E25" s="8"/>
      <c r="F25" s="9"/>
      <c r="G25" s="8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30" customHeight="1" x14ac:dyDescent="0.25">
      <c r="A26" s="8"/>
      <c r="B26" s="8"/>
      <c r="C26" s="8"/>
      <c r="D26" s="9"/>
      <c r="E26" s="8"/>
      <c r="F26" s="9"/>
      <c r="G26" s="8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8"/>
      <c r="B27" s="8"/>
      <c r="C27" s="8"/>
      <c r="D27" s="9"/>
      <c r="E27" s="8"/>
      <c r="F27" s="9"/>
      <c r="G27" s="8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8"/>
      <c r="B28" s="8"/>
      <c r="C28" s="8"/>
      <c r="D28" s="9"/>
      <c r="E28" s="8"/>
      <c r="F28" s="9"/>
      <c r="G28" s="8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8"/>
      <c r="B29" s="8"/>
      <c r="C29" s="8"/>
      <c r="D29" s="9"/>
      <c r="E29" s="8"/>
      <c r="F29" s="9"/>
      <c r="G29" s="8"/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8"/>
      <c r="B30" s="8"/>
      <c r="C30" s="8"/>
      <c r="D30" s="9"/>
      <c r="E30" s="8"/>
      <c r="F30" s="9"/>
      <c r="G30" s="8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8"/>
      <c r="B31" s="8"/>
      <c r="C31" s="8"/>
      <c r="D31" s="9"/>
      <c r="E31" s="8"/>
      <c r="F31" s="9"/>
      <c r="G31" s="8"/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8"/>
      <c r="B32" s="8"/>
      <c r="C32" s="8"/>
      <c r="D32" s="9"/>
      <c r="E32" s="8"/>
      <c r="F32" s="9"/>
      <c r="G32" s="8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8"/>
      <c r="B33" s="8"/>
      <c r="C33" s="8"/>
      <c r="D33" s="9"/>
      <c r="E33" s="8"/>
      <c r="F33" s="9"/>
      <c r="G33" s="8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8"/>
      <c r="B34" s="8"/>
      <c r="C34" s="8"/>
      <c r="D34" s="9"/>
      <c r="E34" s="8"/>
      <c r="F34" s="9"/>
      <c r="G34" s="8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8"/>
      <c r="B35" s="8"/>
      <c r="C35" s="8"/>
      <c r="D35" s="9"/>
      <c r="E35" s="8"/>
      <c r="F35" s="9"/>
      <c r="G35" s="8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8"/>
      <c r="B36" s="8"/>
      <c r="C36" s="8"/>
      <c r="D36" s="9"/>
      <c r="E36" s="8"/>
      <c r="F36" s="9"/>
      <c r="G36" s="8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8"/>
      <c r="B37" s="8"/>
      <c r="C37" s="8"/>
      <c r="D37" s="9"/>
      <c r="E37" s="8"/>
      <c r="F37" s="9"/>
      <c r="G37" s="8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8"/>
      <c r="B38" s="8"/>
      <c r="C38" s="8"/>
      <c r="D38" s="9"/>
      <c r="E38" s="8"/>
      <c r="F38" s="9"/>
      <c r="G38" s="8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8"/>
      <c r="B39" s="8"/>
      <c r="C39" s="8"/>
      <c r="D39" s="9"/>
      <c r="E39" s="8"/>
      <c r="F39" s="9"/>
      <c r="G39" s="8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8"/>
      <c r="B40" s="8"/>
      <c r="C40" s="8"/>
      <c r="D40" s="9"/>
      <c r="E40" s="8"/>
      <c r="F40" s="9"/>
      <c r="G40" s="8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8"/>
      <c r="B41" s="8"/>
      <c r="C41" s="8"/>
      <c r="D41" s="9"/>
      <c r="E41" s="8"/>
      <c r="F41" s="9"/>
      <c r="G41" s="8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8"/>
      <c r="B42" s="8"/>
      <c r="C42" s="8"/>
      <c r="D42" s="9"/>
      <c r="E42" s="8"/>
      <c r="F42" s="9"/>
      <c r="G42" s="8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8"/>
      <c r="B43" s="8"/>
      <c r="C43" s="8"/>
      <c r="D43" s="9"/>
      <c r="E43" s="8"/>
      <c r="F43" s="9"/>
      <c r="G43" s="8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8"/>
      <c r="B44" s="8"/>
      <c r="C44" s="8"/>
      <c r="D44" s="9"/>
      <c r="E44" s="8"/>
      <c r="F44" s="9"/>
      <c r="G44" s="8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8"/>
      <c r="B45" s="8"/>
      <c r="C45" s="8"/>
      <c r="D45" s="9"/>
      <c r="E45" s="8"/>
      <c r="F45" s="9"/>
      <c r="G45" s="8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8"/>
      <c r="B46" s="8"/>
      <c r="C46" s="8"/>
      <c r="D46" s="9"/>
      <c r="E46" s="8"/>
      <c r="F46" s="9"/>
      <c r="G46" s="8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8"/>
      <c r="B47" s="8"/>
      <c r="C47" s="8"/>
      <c r="D47" s="9"/>
      <c r="E47" s="8"/>
      <c r="F47" s="9"/>
      <c r="G47" s="8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8"/>
      <c r="B48" s="8"/>
      <c r="C48" s="8"/>
      <c r="D48" s="9"/>
      <c r="E48" s="8"/>
      <c r="F48" s="9"/>
      <c r="G48" s="8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8"/>
      <c r="B49" s="8"/>
      <c r="C49" s="8"/>
      <c r="D49" s="9"/>
      <c r="E49" s="8"/>
      <c r="F49" s="9"/>
      <c r="G49" s="8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9"/>
      <c r="E50" s="8"/>
      <c r="F50" s="9"/>
      <c r="G50" s="8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9"/>
      <c r="E51" s="8"/>
      <c r="F51" s="9"/>
      <c r="G51" s="8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9"/>
      <c r="E52" s="8"/>
      <c r="F52" s="9"/>
      <c r="G52" s="8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9"/>
      <c r="E53" s="8"/>
      <c r="F53" s="9"/>
      <c r="G53" s="8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9"/>
      <c r="E54" s="8"/>
      <c r="F54" s="9"/>
      <c r="G54" s="8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9"/>
      <c r="E55" s="8"/>
      <c r="F55" s="9"/>
      <c r="G55" s="8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9"/>
      <c r="E56" s="8"/>
      <c r="F56" s="9"/>
      <c r="G56" s="8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9"/>
      <c r="E57" s="8"/>
      <c r="F57" s="9"/>
      <c r="G57" s="8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9"/>
      <c r="E58" s="8"/>
      <c r="F58" s="9"/>
      <c r="G58" s="8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9"/>
      <c r="E59" s="8"/>
      <c r="F59" s="9"/>
      <c r="G59" s="8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9"/>
      <c r="E60" s="8"/>
      <c r="F60" s="9"/>
      <c r="G60" s="8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9"/>
      <c r="E61" s="8"/>
      <c r="F61" s="9"/>
      <c r="G61" s="8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9"/>
      <c r="E62" s="8"/>
      <c r="F62" s="9"/>
      <c r="G62" s="8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9"/>
      <c r="E63" s="8"/>
      <c r="F63" s="9"/>
      <c r="G63" s="8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9"/>
      <c r="E64" s="8"/>
      <c r="F64" s="9"/>
      <c r="G64" s="8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9"/>
      <c r="E65" s="8"/>
      <c r="F65" s="9"/>
      <c r="G65" s="8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9"/>
      <c r="E66" s="8"/>
      <c r="F66" s="9"/>
      <c r="G66" s="8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9"/>
      <c r="E67" s="8"/>
      <c r="F67" s="9"/>
      <c r="G67" s="8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9"/>
      <c r="E68" s="8"/>
      <c r="F68" s="9"/>
      <c r="G68" s="8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9"/>
      <c r="E69" s="8"/>
      <c r="F69" s="9"/>
      <c r="G69" s="8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9"/>
      <c r="E70" s="8"/>
      <c r="F70" s="9"/>
      <c r="G70" s="8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9"/>
      <c r="E71" s="8"/>
      <c r="F71" s="9"/>
      <c r="G71" s="8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9"/>
      <c r="E72" s="8"/>
      <c r="F72" s="9"/>
      <c r="G72" s="8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9"/>
      <c r="E73" s="8"/>
      <c r="F73" s="9"/>
      <c r="G73" s="8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9"/>
      <c r="E74" s="8"/>
      <c r="F74" s="9"/>
      <c r="G74" s="8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9"/>
      <c r="E75" s="8"/>
      <c r="F75" s="9"/>
      <c r="G75" s="8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9"/>
      <c r="E76" s="8"/>
      <c r="F76" s="9"/>
      <c r="G76" s="8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9"/>
      <c r="E77" s="8"/>
      <c r="F77" s="9"/>
      <c r="G77" s="8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9"/>
      <c r="E78" s="8"/>
      <c r="F78" s="9"/>
      <c r="G78" s="8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9"/>
      <c r="E79" s="8"/>
      <c r="F79" s="9"/>
      <c r="G79" s="8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9"/>
      <c r="E80" s="8"/>
      <c r="F80" s="9"/>
      <c r="G80" s="8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9"/>
      <c r="E81" s="8"/>
      <c r="F81" s="9"/>
      <c r="G81" s="8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9"/>
      <c r="E82" s="8"/>
      <c r="F82" s="9"/>
      <c r="G82" s="8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9"/>
      <c r="E83" s="8"/>
      <c r="F83" s="9"/>
      <c r="G83" s="8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9"/>
      <c r="E84" s="8"/>
      <c r="F84" s="9"/>
      <c r="G84" s="8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9"/>
      <c r="E85" s="8"/>
      <c r="F85" s="9"/>
      <c r="G85" s="8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9"/>
      <c r="E86" s="8"/>
      <c r="F86" s="9"/>
      <c r="G86" s="8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9"/>
      <c r="E87" s="8"/>
      <c r="F87" s="9"/>
      <c r="G87" s="8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9"/>
      <c r="E88" s="8"/>
      <c r="F88" s="9"/>
      <c r="G88" s="8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9"/>
      <c r="E89" s="8"/>
      <c r="F89" s="9"/>
      <c r="G89" s="8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9"/>
      <c r="E90" s="8"/>
      <c r="F90" s="9"/>
      <c r="G90" s="8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9"/>
      <c r="E91" s="8"/>
      <c r="F91" s="9"/>
      <c r="G91" s="8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9"/>
      <c r="E92" s="8"/>
      <c r="F92" s="9"/>
      <c r="G92" s="8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9"/>
      <c r="E93" s="8"/>
      <c r="F93" s="9"/>
      <c r="G93" s="8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9"/>
      <c r="E94" s="8"/>
      <c r="F94" s="9"/>
      <c r="G94" s="8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9"/>
      <c r="E95" s="8"/>
      <c r="F95" s="9"/>
      <c r="G95" s="8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9"/>
      <c r="E96" s="8"/>
      <c r="F96" s="9"/>
      <c r="G96" s="8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9"/>
      <c r="E97" s="8"/>
      <c r="F97" s="9"/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9"/>
      <c r="E98" s="8"/>
      <c r="F98" s="9"/>
      <c r="G98" s="8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9"/>
      <c r="E99" s="8"/>
      <c r="F99" s="9"/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9"/>
      <c r="E100" s="8"/>
      <c r="F100" s="9"/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9"/>
      <c r="E101" s="8"/>
      <c r="F101" s="9"/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9"/>
      <c r="E102" s="8"/>
      <c r="F102" s="9"/>
      <c r="G102" s="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9"/>
      <c r="E103" s="8"/>
      <c r="F103" s="9"/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9"/>
      <c r="E104" s="8"/>
      <c r="F104" s="9"/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9"/>
      <c r="E105" s="8"/>
      <c r="F105" s="9"/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9"/>
      <c r="E106" s="8"/>
      <c r="F106" s="9"/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9"/>
      <c r="E107" s="8"/>
      <c r="F107" s="9"/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9"/>
      <c r="E108" s="8"/>
      <c r="F108" s="9"/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9"/>
      <c r="E109" s="8"/>
      <c r="F109" s="9"/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9"/>
      <c r="E110" s="8"/>
      <c r="F110" s="9"/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9"/>
      <c r="E111" s="8"/>
      <c r="F111" s="9"/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9"/>
      <c r="E112" s="8"/>
      <c r="F112" s="9"/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9"/>
      <c r="E113" s="8"/>
      <c r="F113" s="9"/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9"/>
      <c r="E114" s="8"/>
      <c r="F114" s="9"/>
      <c r="G114" s="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9"/>
      <c r="E115" s="8"/>
      <c r="F115" s="9"/>
      <c r="G115" s="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9"/>
      <c r="E116" s="8"/>
      <c r="F116" s="9"/>
      <c r="G116" s="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9"/>
      <c r="E117" s="8"/>
      <c r="F117" s="9"/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9"/>
      <c r="E118" s="8"/>
      <c r="F118" s="9"/>
      <c r="G118" s="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9"/>
      <c r="E119" s="8"/>
      <c r="F119" s="9"/>
      <c r="G119" s="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9"/>
      <c r="E120" s="8"/>
      <c r="F120" s="9"/>
      <c r="G120" s="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9"/>
      <c r="E121" s="8"/>
      <c r="F121" s="9"/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9"/>
      <c r="E122" s="8"/>
      <c r="F122" s="9"/>
      <c r="G122" s="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9"/>
      <c r="E123" s="8"/>
      <c r="F123" s="9"/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9"/>
      <c r="E124" s="8"/>
      <c r="F124" s="9"/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9"/>
      <c r="E125" s="8"/>
      <c r="F125" s="9"/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9"/>
      <c r="E126" s="8"/>
      <c r="F126" s="9"/>
      <c r="G126" s="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9"/>
      <c r="E127" s="8"/>
      <c r="F127" s="9"/>
      <c r="G127" s="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9"/>
      <c r="E128" s="8"/>
      <c r="F128" s="9"/>
      <c r="G128" s="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9"/>
      <c r="E129" s="8"/>
      <c r="F129" s="9"/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9"/>
      <c r="E130" s="8"/>
      <c r="F130" s="9"/>
      <c r="G130" s="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9"/>
      <c r="E131" s="8"/>
      <c r="F131" s="9"/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9"/>
      <c r="E132" s="8"/>
      <c r="F132" s="9"/>
      <c r="G132" s="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9"/>
      <c r="E133" s="8"/>
      <c r="F133" s="9"/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9"/>
      <c r="E134" s="8"/>
      <c r="F134" s="9"/>
      <c r="G134" s="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9"/>
      <c r="E135" s="8"/>
      <c r="F135" s="9"/>
      <c r="G135" s="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9"/>
      <c r="E136" s="8"/>
      <c r="F136" s="9"/>
      <c r="G136" s="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9"/>
      <c r="E137" s="8"/>
      <c r="F137" s="9"/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9"/>
      <c r="E138" s="8"/>
      <c r="F138" s="9"/>
      <c r="G138" s="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9"/>
      <c r="E139" s="8"/>
      <c r="F139" s="9"/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9"/>
      <c r="E140" s="8"/>
      <c r="F140" s="9"/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9"/>
      <c r="E141" s="8"/>
      <c r="F141" s="9"/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9"/>
      <c r="E142" s="8"/>
      <c r="F142" s="9"/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9"/>
      <c r="E143" s="8"/>
      <c r="F143" s="9"/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9"/>
      <c r="E144" s="8"/>
      <c r="F144" s="9"/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9"/>
      <c r="E145" s="8"/>
      <c r="F145" s="9"/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9"/>
      <c r="E146" s="8"/>
      <c r="F146" s="9"/>
      <c r="G146" s="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9"/>
      <c r="E147" s="8"/>
      <c r="F147" s="9"/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9"/>
      <c r="E148" s="8"/>
      <c r="F148" s="9"/>
      <c r="G148" s="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9"/>
      <c r="E149" s="8"/>
      <c r="F149" s="9"/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9"/>
      <c r="E150" s="8"/>
      <c r="F150" s="9"/>
      <c r="G150" s="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9"/>
      <c r="E151" s="8"/>
      <c r="F151" s="9"/>
      <c r="G151" s="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9"/>
      <c r="E152" s="8"/>
      <c r="F152" s="9"/>
      <c r="G152" s="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9"/>
      <c r="E153" s="8"/>
      <c r="F153" s="9"/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9"/>
      <c r="E154" s="8"/>
      <c r="F154" s="9"/>
      <c r="G154" s="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9"/>
      <c r="E155" s="8"/>
      <c r="F155" s="9"/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9"/>
      <c r="E156" s="8"/>
      <c r="F156" s="9"/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9"/>
      <c r="E157" s="8"/>
      <c r="F157" s="9"/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9"/>
      <c r="E158" s="8"/>
      <c r="F158" s="9"/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9"/>
      <c r="E159" s="8"/>
      <c r="F159" s="9"/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9"/>
      <c r="E160" s="8"/>
      <c r="F160" s="9"/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9"/>
      <c r="E161" s="8"/>
      <c r="F161" s="9"/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9"/>
      <c r="E162" s="8"/>
      <c r="F162" s="9"/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9"/>
      <c r="E163" s="8"/>
      <c r="F163" s="9"/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9"/>
      <c r="E164" s="8"/>
      <c r="F164" s="9"/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9"/>
      <c r="E165" s="8"/>
      <c r="F165" s="9"/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9"/>
      <c r="E166" s="8"/>
      <c r="F166" s="9"/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9"/>
      <c r="E167" s="8"/>
      <c r="F167" s="9"/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9"/>
      <c r="E168" s="8"/>
      <c r="F168" s="9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9"/>
      <c r="E169" s="8"/>
      <c r="F169" s="9"/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9"/>
      <c r="E170" s="8"/>
      <c r="F170" s="9"/>
      <c r="G170" s="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9"/>
      <c r="E171" s="8"/>
      <c r="F171" s="9"/>
      <c r="G171" s="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9"/>
      <c r="E172" s="8"/>
      <c r="F172" s="9"/>
      <c r="G172" s="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9"/>
      <c r="E173" s="8"/>
      <c r="F173" s="9"/>
      <c r="G173" s="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9"/>
      <c r="E174" s="8"/>
      <c r="F174" s="9"/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9"/>
      <c r="E175" s="8"/>
      <c r="F175" s="9"/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9"/>
      <c r="E176" s="8"/>
      <c r="F176" s="9"/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9"/>
      <c r="E177" s="8"/>
      <c r="F177" s="9"/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9"/>
      <c r="E178" s="8"/>
      <c r="F178" s="9"/>
      <c r="G178" s="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9"/>
      <c r="E179" s="8"/>
      <c r="F179" s="9"/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9"/>
      <c r="E180" s="8"/>
      <c r="F180" s="9"/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9"/>
      <c r="E181" s="8"/>
      <c r="F181" s="9"/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9"/>
      <c r="E182" s="8"/>
      <c r="F182" s="9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9"/>
      <c r="E183" s="8"/>
      <c r="F183" s="9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9"/>
      <c r="E184" s="8"/>
      <c r="F184" s="9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9"/>
      <c r="E185" s="8"/>
      <c r="F185" s="9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9"/>
      <c r="E186" s="8"/>
      <c r="F186" s="9"/>
      <c r="G186" s="8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9"/>
      <c r="E187" s="8"/>
      <c r="F187" s="9"/>
      <c r="G187" s="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9"/>
      <c r="E188" s="8"/>
      <c r="F188" s="9"/>
      <c r="G188" s="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9"/>
      <c r="E189" s="8"/>
      <c r="F189" s="9"/>
      <c r="G189" s="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9"/>
      <c r="E190" s="8"/>
      <c r="F190" s="9"/>
      <c r="G190" s="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9"/>
      <c r="E191" s="8"/>
      <c r="F191" s="9"/>
      <c r="G191" s="8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9"/>
      <c r="E192" s="8"/>
      <c r="F192" s="9"/>
      <c r="G192" s="8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9"/>
      <c r="E193" s="8"/>
      <c r="F193" s="9"/>
      <c r="G193" s="8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9"/>
      <c r="E194" s="8"/>
      <c r="F194" s="9"/>
      <c r="G194" s="8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9"/>
      <c r="E195" s="8"/>
      <c r="F195" s="9"/>
      <c r="G195" s="8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9"/>
      <c r="E196" s="8"/>
      <c r="F196" s="9"/>
      <c r="G196" s="8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9"/>
      <c r="E197" s="8"/>
      <c r="F197" s="9"/>
      <c r="G197" s="8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9"/>
      <c r="E198" s="8"/>
      <c r="F198" s="9"/>
      <c r="G198" s="8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9"/>
      <c r="E199" s="8"/>
      <c r="F199" s="9"/>
      <c r="G199" s="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9"/>
      <c r="E200" s="8"/>
      <c r="F200" s="9"/>
      <c r="G200" s="8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9"/>
      <c r="E201" s="8"/>
      <c r="F201" s="9"/>
      <c r="G201" s="8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9"/>
      <c r="E202" s="8"/>
      <c r="F202" s="9"/>
      <c r="G202" s="8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9"/>
      <c r="E203" s="8"/>
      <c r="F203" s="9"/>
      <c r="G203" s="8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9"/>
      <c r="E204" s="8"/>
      <c r="F204" s="9"/>
      <c r="G204" s="8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9"/>
      <c r="E205" s="8"/>
      <c r="F205" s="9"/>
      <c r="G205" s="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9"/>
      <c r="E206" s="8"/>
      <c r="F206" s="9"/>
      <c r="G206" s="8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9"/>
      <c r="E207" s="8"/>
      <c r="F207" s="9"/>
      <c r="G207" s="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9"/>
      <c r="E208" s="8"/>
      <c r="F208" s="9"/>
      <c r="G208" s="8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9"/>
      <c r="E209" s="8"/>
      <c r="F209" s="9"/>
      <c r="G209" s="8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9"/>
      <c r="E210" s="8"/>
      <c r="F210" s="9"/>
      <c r="G210" s="8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9"/>
      <c r="E211" s="8"/>
      <c r="F211" s="9"/>
      <c r="G211" s="8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9"/>
      <c r="E212" s="8"/>
      <c r="F212" s="9"/>
      <c r="G212" s="8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9"/>
      <c r="E213" s="8"/>
      <c r="F213" s="9"/>
      <c r="G213" s="8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9"/>
      <c r="E214" s="8"/>
      <c r="F214" s="9"/>
      <c r="G214" s="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9"/>
      <c r="E215" s="8"/>
      <c r="F215" s="9"/>
      <c r="G215" s="8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9"/>
      <c r="E216" s="8"/>
      <c r="F216" s="9"/>
      <c r="G216" s="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9"/>
      <c r="E217" s="8"/>
      <c r="F217" s="9"/>
      <c r="G217" s="8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9"/>
      <c r="E218" s="8"/>
      <c r="F218" s="9"/>
      <c r="G218" s="8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9"/>
      <c r="E219" s="8"/>
      <c r="F219" s="9"/>
      <c r="G219" s="8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9"/>
      <c r="E220" s="8"/>
      <c r="F220" s="9"/>
      <c r="G220" s="8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9"/>
      <c r="E221" s="8"/>
      <c r="F221" s="9"/>
      <c r="G221" s="8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9"/>
      <c r="E222" s="8"/>
      <c r="F222" s="9"/>
      <c r="G222" s="8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9"/>
      <c r="E223" s="8"/>
      <c r="F223" s="9"/>
      <c r="G223" s="8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9"/>
      <c r="E224" s="8"/>
      <c r="F224" s="9"/>
      <c r="G224" s="8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9"/>
      <c r="E225" s="8"/>
      <c r="F225" s="9"/>
      <c r="G225" s="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9"/>
      <c r="E226" s="8"/>
      <c r="F226" s="9"/>
      <c r="G226" s="8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9"/>
      <c r="E227" s="8"/>
      <c r="F227" s="9"/>
      <c r="G227" s="8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9"/>
      <c r="E228" s="8"/>
      <c r="F228" s="9"/>
      <c r="G228" s="8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9"/>
      <c r="E229" s="8"/>
      <c r="F229" s="9"/>
      <c r="G229" s="8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9"/>
      <c r="E230" s="8"/>
      <c r="F230" s="9"/>
      <c r="G230" s="8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9"/>
      <c r="E231" s="8"/>
      <c r="F231" s="9"/>
      <c r="G231" s="8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9"/>
      <c r="E232" s="8"/>
      <c r="F232" s="9"/>
      <c r="G232" s="8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9"/>
      <c r="E233" s="8"/>
      <c r="F233" s="9"/>
      <c r="G233" s="8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9"/>
      <c r="E234" s="8"/>
      <c r="F234" s="9"/>
      <c r="G234" s="8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9"/>
      <c r="E235" s="8"/>
      <c r="F235" s="9"/>
      <c r="G235" s="8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9"/>
      <c r="E236" s="8"/>
      <c r="F236" s="9"/>
      <c r="G236" s="8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9"/>
      <c r="E237" s="8"/>
      <c r="F237" s="9"/>
      <c r="G237" s="8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9"/>
      <c r="E238" s="8"/>
      <c r="F238" s="9"/>
      <c r="G238" s="8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9"/>
      <c r="E239" s="8"/>
      <c r="F239" s="9"/>
      <c r="G239" s="8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9"/>
      <c r="E240" s="8"/>
      <c r="F240" s="9"/>
      <c r="G240" s="8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9"/>
      <c r="E241" s="8"/>
      <c r="F241" s="9"/>
      <c r="G241" s="8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9"/>
      <c r="E242" s="8"/>
      <c r="F242" s="9"/>
      <c r="G242" s="8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9"/>
      <c r="E243" s="8"/>
      <c r="F243" s="9"/>
      <c r="G243" s="8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9"/>
      <c r="E244" s="8"/>
      <c r="F244" s="9"/>
      <c r="G244" s="8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9"/>
      <c r="E245" s="8"/>
      <c r="F245" s="9"/>
      <c r="G245" s="8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9"/>
      <c r="E246" s="8"/>
      <c r="F246" s="9"/>
      <c r="G246" s="8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9"/>
      <c r="E247" s="8"/>
      <c r="F247" s="9"/>
      <c r="G247" s="8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9"/>
      <c r="E248" s="8"/>
      <c r="F248" s="9"/>
      <c r="G248" s="8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9"/>
      <c r="E249" s="8"/>
      <c r="F249" s="9"/>
      <c r="G249" s="8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9"/>
      <c r="E250" s="8"/>
      <c r="F250" s="9"/>
      <c r="G250" s="8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9"/>
      <c r="E251" s="8"/>
      <c r="F251" s="9"/>
      <c r="G251" s="8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9"/>
      <c r="E252" s="8"/>
      <c r="F252" s="9"/>
      <c r="G252" s="8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9"/>
      <c r="E253" s="8"/>
      <c r="F253" s="9"/>
      <c r="G253" s="8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9"/>
      <c r="E254" s="8"/>
      <c r="F254" s="9"/>
      <c r="G254" s="8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9"/>
      <c r="E255" s="8"/>
      <c r="F255" s="9"/>
      <c r="G255" s="8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9"/>
      <c r="E256" s="8"/>
      <c r="F256" s="9"/>
      <c r="G256" s="8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9"/>
      <c r="E257" s="8"/>
      <c r="F257" s="9"/>
      <c r="G257" s="8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9"/>
      <c r="E258" s="8"/>
      <c r="F258" s="9"/>
      <c r="G258" s="8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9"/>
      <c r="E259" s="8"/>
      <c r="F259" s="9"/>
      <c r="G259" s="8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9"/>
      <c r="E260" s="8"/>
      <c r="F260" s="9"/>
      <c r="G260" s="8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9"/>
      <c r="E261" s="8"/>
      <c r="F261" s="9"/>
      <c r="G261" s="8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9"/>
      <c r="E262" s="8"/>
      <c r="F262" s="9"/>
      <c r="G262" s="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9"/>
      <c r="E263" s="8"/>
      <c r="F263" s="9"/>
      <c r="G263" s="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9"/>
      <c r="E264" s="8"/>
      <c r="F264" s="9"/>
      <c r="G264" s="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9"/>
      <c r="E265" s="8"/>
      <c r="F265" s="9"/>
      <c r="G265" s="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9"/>
      <c r="E266" s="8"/>
      <c r="F266" s="9"/>
      <c r="G266" s="8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9"/>
      <c r="E267" s="8"/>
      <c r="F267" s="9"/>
      <c r="G267" s="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9"/>
      <c r="E268" s="8"/>
      <c r="F268" s="9"/>
      <c r="G268" s="8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9"/>
      <c r="E269" s="8"/>
      <c r="F269" s="9"/>
      <c r="G269" s="8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9"/>
      <c r="E270" s="8"/>
      <c r="F270" s="9"/>
      <c r="G270" s="8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9"/>
      <c r="E271" s="8"/>
      <c r="F271" s="9"/>
      <c r="G271" s="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9"/>
      <c r="E272" s="8"/>
      <c r="F272" s="9"/>
      <c r="G272" s="8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9"/>
      <c r="E273" s="8"/>
      <c r="F273" s="9"/>
      <c r="G273" s="8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9"/>
      <c r="E274" s="8"/>
      <c r="F274" s="9"/>
      <c r="G274" s="8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9"/>
      <c r="E275" s="8"/>
      <c r="F275" s="9"/>
      <c r="G275" s="8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9"/>
      <c r="E276" s="8"/>
      <c r="F276" s="9"/>
      <c r="G276" s="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9"/>
      <c r="E277" s="8"/>
      <c r="F277" s="9"/>
      <c r="G277" s="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9"/>
      <c r="E278" s="8"/>
      <c r="F278" s="9"/>
      <c r="G278" s="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9"/>
      <c r="E279" s="8"/>
      <c r="F279" s="9"/>
      <c r="G279" s="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9"/>
      <c r="E280" s="8"/>
      <c r="F280" s="9"/>
      <c r="G280" s="8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9"/>
      <c r="E281" s="8"/>
      <c r="F281" s="9"/>
      <c r="G281" s="8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9"/>
      <c r="E282" s="8"/>
      <c r="F282" s="9"/>
      <c r="G282" s="8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9"/>
      <c r="E283" s="8"/>
      <c r="F283" s="9"/>
      <c r="G283" s="8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9"/>
      <c r="E284" s="8"/>
      <c r="F284" s="9"/>
      <c r="G284" s="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9"/>
      <c r="E285" s="8"/>
      <c r="F285" s="9"/>
      <c r="G285" s="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9"/>
      <c r="E286" s="8"/>
      <c r="F286" s="9"/>
      <c r="G286" s="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9"/>
      <c r="E287" s="8"/>
      <c r="F287" s="9"/>
      <c r="G287" s="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9"/>
      <c r="E288" s="8"/>
      <c r="F288" s="9"/>
      <c r="G288" s="8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9"/>
      <c r="E289" s="8"/>
      <c r="F289" s="9"/>
      <c r="G289" s="8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9"/>
      <c r="E290" s="8"/>
      <c r="F290" s="9"/>
      <c r="G290" s="8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9"/>
      <c r="E291" s="8"/>
      <c r="F291" s="9"/>
      <c r="G291" s="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9"/>
      <c r="E292" s="8"/>
      <c r="F292" s="9"/>
      <c r="G292" s="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9"/>
      <c r="E293" s="8"/>
      <c r="F293" s="9"/>
      <c r="G293" s="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9"/>
      <c r="E294" s="8"/>
      <c r="F294" s="9"/>
      <c r="G294" s="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9"/>
      <c r="E295" s="8"/>
      <c r="F295" s="9"/>
      <c r="G295" s="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9"/>
      <c r="E296" s="8"/>
      <c r="F296" s="9"/>
      <c r="G296" s="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9"/>
      <c r="E297" s="8"/>
      <c r="F297" s="9"/>
      <c r="G297" s="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9"/>
      <c r="E298" s="8"/>
      <c r="F298" s="9"/>
      <c r="G298" s="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9"/>
      <c r="E299" s="8"/>
      <c r="F299" s="9"/>
      <c r="G299" s="8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9"/>
      <c r="E300" s="8"/>
      <c r="F300" s="9"/>
      <c r="G300" s="8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9"/>
      <c r="E301" s="8"/>
      <c r="F301" s="9"/>
      <c r="G301" s="8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9"/>
      <c r="E302" s="8"/>
      <c r="F302" s="9"/>
      <c r="G302" s="8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9"/>
      <c r="E303" s="8"/>
      <c r="F303" s="9"/>
      <c r="G303" s="8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9"/>
      <c r="E304" s="8"/>
      <c r="F304" s="9"/>
      <c r="G304" s="8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9"/>
      <c r="E305" s="8"/>
      <c r="F305" s="9"/>
      <c r="G305" s="8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9"/>
      <c r="E306" s="8"/>
      <c r="F306" s="9"/>
      <c r="G306" s="8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9"/>
      <c r="E307" s="8"/>
      <c r="F307" s="9"/>
      <c r="G307" s="8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9"/>
      <c r="E308" s="8"/>
      <c r="F308" s="9"/>
      <c r="G308" s="8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9"/>
      <c r="E309" s="8"/>
      <c r="F309" s="9"/>
      <c r="G309" s="8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9"/>
      <c r="E310" s="8"/>
      <c r="F310" s="9"/>
      <c r="G310" s="8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9"/>
      <c r="E311" s="8"/>
      <c r="F311" s="9"/>
      <c r="G311" s="8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9"/>
      <c r="E312" s="8"/>
      <c r="F312" s="9"/>
      <c r="G312" s="8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9"/>
      <c r="E313" s="8"/>
      <c r="F313" s="9"/>
      <c r="G313" s="8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9"/>
      <c r="E314" s="8"/>
      <c r="F314" s="9"/>
      <c r="G314" s="8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9"/>
      <c r="E315" s="8"/>
      <c r="F315" s="9"/>
      <c r="G315" s="8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9"/>
      <c r="E316" s="8"/>
      <c r="F316" s="9"/>
      <c r="G316" s="8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9"/>
      <c r="E317" s="8"/>
      <c r="F317" s="9"/>
      <c r="G317" s="8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9"/>
      <c r="E318" s="8"/>
      <c r="F318" s="9"/>
      <c r="G318" s="8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9"/>
      <c r="E319" s="8"/>
      <c r="F319" s="9"/>
      <c r="G319" s="8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9"/>
      <c r="E320" s="8"/>
      <c r="F320" s="9"/>
      <c r="G320" s="8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9"/>
      <c r="E321" s="8"/>
      <c r="F321" s="9"/>
      <c r="G321" s="8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9"/>
      <c r="E322" s="8"/>
      <c r="F322" s="9"/>
      <c r="G322" s="8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9"/>
      <c r="E323" s="8"/>
      <c r="F323" s="9"/>
      <c r="G323" s="8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9"/>
      <c r="E324" s="8"/>
      <c r="F324" s="9"/>
      <c r="G324" s="8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9"/>
      <c r="E325" s="8"/>
      <c r="F325" s="9"/>
      <c r="G325" s="8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9"/>
      <c r="E326" s="8"/>
      <c r="F326" s="9"/>
      <c r="G326" s="8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9"/>
      <c r="E327" s="8"/>
      <c r="F327" s="9"/>
      <c r="G327" s="8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9"/>
      <c r="E328" s="8"/>
      <c r="F328" s="9"/>
      <c r="G328" s="8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9"/>
      <c r="E329" s="8"/>
      <c r="F329" s="9"/>
      <c r="G329" s="8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9"/>
      <c r="E330" s="8"/>
      <c r="F330" s="9"/>
      <c r="G330" s="8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9"/>
      <c r="E331" s="8"/>
      <c r="F331" s="9"/>
      <c r="G331" s="8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9"/>
      <c r="E332" s="8"/>
      <c r="F332" s="9"/>
      <c r="G332" s="8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9"/>
      <c r="E333" s="8"/>
      <c r="F333" s="9"/>
      <c r="G333" s="8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9"/>
      <c r="E334" s="8"/>
      <c r="F334" s="9"/>
      <c r="G334" s="8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9"/>
      <c r="E335" s="8"/>
      <c r="F335" s="9"/>
      <c r="G335" s="8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9"/>
      <c r="E336" s="8"/>
      <c r="F336" s="9"/>
      <c r="G336" s="8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9"/>
      <c r="E337" s="8"/>
      <c r="F337" s="9"/>
      <c r="G337" s="8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9"/>
      <c r="E338" s="8"/>
      <c r="F338" s="9"/>
      <c r="G338" s="8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9"/>
      <c r="E339" s="8"/>
      <c r="F339" s="9"/>
      <c r="G339" s="8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9"/>
      <c r="E340" s="8"/>
      <c r="F340" s="9"/>
      <c r="G340" s="8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9"/>
      <c r="E341" s="8"/>
      <c r="F341" s="9"/>
      <c r="G341" s="8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9"/>
      <c r="E342" s="8"/>
      <c r="F342" s="9"/>
      <c r="G342" s="8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9"/>
      <c r="E343" s="8"/>
      <c r="F343" s="9"/>
      <c r="G343" s="8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9"/>
      <c r="E344" s="8"/>
      <c r="F344" s="9"/>
      <c r="G344" s="8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9"/>
      <c r="E345" s="8"/>
      <c r="F345" s="9"/>
      <c r="G345" s="8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9"/>
      <c r="E346" s="8"/>
      <c r="F346" s="9"/>
      <c r="G346" s="8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9"/>
      <c r="E347" s="8"/>
      <c r="F347" s="9"/>
      <c r="G347" s="8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9"/>
      <c r="E348" s="8"/>
      <c r="F348" s="9"/>
      <c r="G348" s="8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9"/>
      <c r="E349" s="8"/>
      <c r="F349" s="9"/>
      <c r="G349" s="8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9"/>
      <c r="E350" s="8"/>
      <c r="F350" s="9"/>
      <c r="G350" s="8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9"/>
      <c r="E351" s="8"/>
      <c r="F351" s="9"/>
      <c r="G351" s="8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9"/>
      <c r="E352" s="8"/>
      <c r="F352" s="9"/>
      <c r="G352" s="8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9"/>
      <c r="E353" s="8"/>
      <c r="F353" s="9"/>
      <c r="G353" s="8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9"/>
      <c r="E354" s="8"/>
      <c r="F354" s="9"/>
      <c r="G354" s="8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9"/>
      <c r="E355" s="8"/>
      <c r="F355" s="9"/>
      <c r="G355" s="8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9"/>
      <c r="E356" s="8"/>
      <c r="F356" s="9"/>
      <c r="G356" s="8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9"/>
      <c r="E357" s="8"/>
      <c r="F357" s="9"/>
      <c r="G357" s="8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9"/>
      <c r="E358" s="8"/>
      <c r="F358" s="9"/>
      <c r="G358" s="8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9"/>
      <c r="E359" s="8"/>
      <c r="F359" s="9"/>
      <c r="G359" s="8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9"/>
      <c r="E360" s="8"/>
      <c r="F360" s="9"/>
      <c r="G360" s="8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9"/>
      <c r="E361" s="8"/>
      <c r="F361" s="9"/>
      <c r="G361" s="8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9"/>
      <c r="E362" s="8"/>
      <c r="F362" s="9"/>
      <c r="G362" s="8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9"/>
      <c r="E363" s="8"/>
      <c r="F363" s="9"/>
      <c r="G363" s="8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9"/>
      <c r="E364" s="8"/>
      <c r="F364" s="9"/>
      <c r="G364" s="8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9"/>
      <c r="E365" s="8"/>
      <c r="F365" s="9"/>
      <c r="G365" s="8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9"/>
      <c r="E366" s="8"/>
      <c r="F366" s="9"/>
      <c r="G366" s="8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9"/>
      <c r="E367" s="8"/>
      <c r="F367" s="9"/>
      <c r="G367" s="8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9"/>
      <c r="E368" s="8"/>
      <c r="F368" s="9"/>
      <c r="G368" s="8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9"/>
      <c r="E369" s="8"/>
      <c r="F369" s="9"/>
      <c r="G369" s="8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9"/>
      <c r="E370" s="8"/>
      <c r="F370" s="9"/>
      <c r="G370" s="8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9"/>
      <c r="E371" s="8"/>
      <c r="F371" s="9"/>
      <c r="G371" s="8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9"/>
      <c r="E372" s="8"/>
      <c r="F372" s="9"/>
      <c r="G372" s="8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9"/>
      <c r="E373" s="8"/>
      <c r="F373" s="9"/>
      <c r="G373" s="8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9"/>
      <c r="E374" s="8"/>
      <c r="F374" s="9"/>
      <c r="G374" s="8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9"/>
      <c r="E375" s="8"/>
      <c r="F375" s="9"/>
      <c r="G375" s="8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9"/>
      <c r="E376" s="8"/>
      <c r="F376" s="9"/>
      <c r="G376" s="8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9"/>
      <c r="E377" s="8"/>
      <c r="F377" s="9"/>
      <c r="G377" s="8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9"/>
      <c r="E378" s="8"/>
      <c r="F378" s="9"/>
      <c r="G378" s="8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9"/>
      <c r="E379" s="8"/>
      <c r="F379" s="9"/>
      <c r="G379" s="8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9"/>
      <c r="E380" s="8"/>
      <c r="F380" s="9"/>
      <c r="G380" s="8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9"/>
      <c r="E381" s="8"/>
      <c r="F381" s="9"/>
      <c r="G381" s="8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9"/>
      <c r="E382" s="8"/>
      <c r="F382" s="9"/>
      <c r="G382" s="8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9"/>
      <c r="E383" s="8"/>
      <c r="F383" s="9"/>
      <c r="G383" s="8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9"/>
      <c r="E384" s="8"/>
      <c r="F384" s="9"/>
      <c r="G384" s="8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9"/>
      <c r="E385" s="8"/>
      <c r="F385" s="9"/>
      <c r="G385" s="8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9"/>
      <c r="E386" s="8"/>
      <c r="F386" s="9"/>
      <c r="G386" s="8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9"/>
      <c r="E387" s="8"/>
      <c r="F387" s="9"/>
      <c r="G387" s="8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9"/>
      <c r="E388" s="8"/>
      <c r="F388" s="9"/>
      <c r="G388" s="8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9"/>
      <c r="E389" s="8"/>
      <c r="F389" s="9"/>
      <c r="G389" s="8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9"/>
      <c r="E390" s="8"/>
      <c r="F390" s="9"/>
      <c r="G390" s="8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9"/>
      <c r="E391" s="8"/>
      <c r="F391" s="9"/>
      <c r="G391" s="8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9"/>
      <c r="E392" s="8"/>
      <c r="F392" s="9"/>
      <c r="G392" s="8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9"/>
      <c r="E393" s="8"/>
      <c r="F393" s="9"/>
      <c r="G393" s="8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9"/>
      <c r="E394" s="8"/>
      <c r="F394" s="9"/>
      <c r="G394" s="8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9"/>
      <c r="E395" s="8"/>
      <c r="F395" s="9"/>
      <c r="G395" s="8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9"/>
      <c r="E396" s="8"/>
      <c r="F396" s="9"/>
      <c r="G396" s="8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9"/>
      <c r="E397" s="8"/>
      <c r="F397" s="9"/>
      <c r="G397" s="8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9"/>
      <c r="E398" s="8"/>
      <c r="F398" s="9"/>
      <c r="G398" s="8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9"/>
      <c r="E399" s="8"/>
      <c r="F399" s="9"/>
      <c r="G399" s="8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9"/>
      <c r="E400" s="8"/>
      <c r="F400" s="9"/>
      <c r="G400" s="8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9"/>
      <c r="E401" s="8"/>
      <c r="F401" s="9"/>
      <c r="G401" s="8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9"/>
      <c r="E402" s="8"/>
      <c r="F402" s="9"/>
      <c r="G402" s="8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9"/>
      <c r="E403" s="8"/>
      <c r="F403" s="9"/>
      <c r="G403" s="8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9"/>
      <c r="E404" s="8"/>
      <c r="F404" s="9"/>
      <c r="G404" s="8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9"/>
      <c r="E405" s="8"/>
      <c r="F405" s="9"/>
      <c r="G405" s="8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9"/>
      <c r="E406" s="8"/>
      <c r="F406" s="9"/>
      <c r="G406" s="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9"/>
      <c r="E407" s="8"/>
      <c r="F407" s="9"/>
      <c r="G407" s="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9"/>
      <c r="E408" s="8"/>
      <c r="F408" s="9"/>
      <c r="G408" s="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9"/>
      <c r="E409" s="8"/>
      <c r="F409" s="9"/>
      <c r="G409" s="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9"/>
      <c r="E410" s="8"/>
      <c r="F410" s="9"/>
      <c r="G410" s="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9"/>
      <c r="E411" s="8"/>
      <c r="F411" s="9"/>
      <c r="G411" s="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9"/>
      <c r="E412" s="8"/>
      <c r="F412" s="9"/>
      <c r="G412" s="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9"/>
      <c r="E413" s="8"/>
      <c r="F413" s="9"/>
      <c r="G413" s="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9"/>
      <c r="E414" s="8"/>
      <c r="F414" s="9"/>
      <c r="G414" s="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9"/>
      <c r="E415" s="8"/>
      <c r="F415" s="9"/>
      <c r="G415" s="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9"/>
      <c r="E416" s="8"/>
      <c r="F416" s="9"/>
      <c r="G416" s="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9"/>
      <c r="E417" s="8"/>
      <c r="F417" s="9"/>
      <c r="G417" s="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9"/>
      <c r="E418" s="8"/>
      <c r="F418" s="9"/>
      <c r="G418" s="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9"/>
      <c r="E419" s="8"/>
      <c r="F419" s="9"/>
      <c r="G419" s="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9"/>
      <c r="E420" s="8"/>
      <c r="F420" s="9"/>
      <c r="G420" s="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9"/>
      <c r="E421" s="8"/>
      <c r="F421" s="9"/>
      <c r="G421" s="8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9"/>
      <c r="E422" s="8"/>
      <c r="F422" s="9"/>
      <c r="G422" s="8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9"/>
      <c r="E423" s="8"/>
      <c r="F423" s="9"/>
      <c r="G423" s="8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9"/>
      <c r="E424" s="8"/>
      <c r="F424" s="9"/>
      <c r="G424" s="8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9"/>
      <c r="E425" s="8"/>
      <c r="F425" s="9"/>
      <c r="G425" s="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9"/>
      <c r="E426" s="8"/>
      <c r="F426" s="9"/>
      <c r="G426" s="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9"/>
      <c r="E427" s="8"/>
      <c r="F427" s="9"/>
      <c r="G427" s="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9"/>
      <c r="E428" s="8"/>
      <c r="F428" s="9"/>
      <c r="G428" s="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9"/>
      <c r="E429" s="8"/>
      <c r="F429" s="9"/>
      <c r="G429" s="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9"/>
      <c r="E430" s="8"/>
      <c r="F430" s="9"/>
      <c r="G430" s="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9"/>
      <c r="E431" s="8"/>
      <c r="F431" s="9"/>
      <c r="G431" s="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9"/>
      <c r="E432" s="8"/>
      <c r="F432" s="9"/>
      <c r="G432" s="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9"/>
      <c r="E433" s="8"/>
      <c r="F433" s="9"/>
      <c r="G433" s="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9"/>
      <c r="E434" s="8"/>
      <c r="F434" s="9"/>
      <c r="G434" s="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9"/>
      <c r="E435" s="8"/>
      <c r="F435" s="9"/>
      <c r="G435" s="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9"/>
      <c r="E436" s="8"/>
      <c r="F436" s="9"/>
      <c r="G436" s="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9"/>
      <c r="E437" s="8"/>
      <c r="F437" s="9"/>
      <c r="G437" s="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9"/>
      <c r="E438" s="8"/>
      <c r="F438" s="9"/>
      <c r="G438" s="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9"/>
      <c r="E439" s="8"/>
      <c r="F439" s="9"/>
      <c r="G439" s="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9"/>
      <c r="E440" s="8"/>
      <c r="F440" s="9"/>
      <c r="G440" s="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9"/>
      <c r="E441" s="8"/>
      <c r="F441" s="9"/>
      <c r="G441" s="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9"/>
      <c r="E442" s="8"/>
      <c r="F442" s="9"/>
      <c r="G442" s="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9"/>
      <c r="E443" s="8"/>
      <c r="F443" s="9"/>
      <c r="G443" s="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9"/>
      <c r="E444" s="8"/>
      <c r="F444" s="9"/>
      <c r="G444" s="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9"/>
      <c r="E445" s="8"/>
      <c r="F445" s="9"/>
      <c r="G445" s="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9"/>
      <c r="E446" s="8"/>
      <c r="F446" s="9"/>
      <c r="G446" s="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9"/>
      <c r="E447" s="8"/>
      <c r="F447" s="9"/>
      <c r="G447" s="8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9"/>
      <c r="E448" s="8"/>
      <c r="F448" s="9"/>
      <c r="G448" s="8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9"/>
      <c r="E449" s="8"/>
      <c r="F449" s="9"/>
      <c r="G449" s="8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9"/>
      <c r="E450" s="8"/>
      <c r="F450" s="9"/>
      <c r="G450" s="8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9"/>
      <c r="E451" s="8"/>
      <c r="F451" s="9"/>
      <c r="G451" s="8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9"/>
      <c r="E452" s="8"/>
      <c r="F452" s="9"/>
      <c r="G452" s="8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9"/>
      <c r="E453" s="8"/>
      <c r="F453" s="9"/>
      <c r="G453" s="8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9"/>
      <c r="E454" s="8"/>
      <c r="F454" s="9"/>
      <c r="G454" s="8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9"/>
      <c r="E455" s="8"/>
      <c r="F455" s="9"/>
      <c r="G455" s="8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9"/>
      <c r="E456" s="8"/>
      <c r="F456" s="9"/>
      <c r="G456" s="8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9"/>
      <c r="E457" s="8"/>
      <c r="F457" s="9"/>
      <c r="G457" s="8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9"/>
      <c r="E458" s="8"/>
      <c r="F458" s="9"/>
      <c r="G458" s="8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9"/>
      <c r="E459" s="8"/>
      <c r="F459" s="9"/>
      <c r="G459" s="8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9"/>
      <c r="E460" s="8"/>
      <c r="F460" s="9"/>
      <c r="G460" s="8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9"/>
      <c r="E461" s="8"/>
      <c r="F461" s="9"/>
      <c r="G461" s="8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9"/>
      <c r="E462" s="8"/>
      <c r="F462" s="9"/>
      <c r="G462" s="8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9"/>
      <c r="E463" s="8"/>
      <c r="F463" s="9"/>
      <c r="G463" s="8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9"/>
      <c r="E464" s="8"/>
      <c r="F464" s="9"/>
      <c r="G464" s="8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9"/>
      <c r="E465" s="8"/>
      <c r="F465" s="9"/>
      <c r="G465" s="8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9"/>
      <c r="E466" s="8"/>
      <c r="F466" s="9"/>
      <c r="G466" s="8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9"/>
      <c r="E467" s="8"/>
      <c r="F467" s="9"/>
      <c r="G467" s="8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9"/>
      <c r="E468" s="8"/>
      <c r="F468" s="9"/>
      <c r="G468" s="8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9"/>
      <c r="E469" s="8"/>
      <c r="F469" s="9"/>
      <c r="G469" s="8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9"/>
      <c r="E470" s="8"/>
      <c r="F470" s="9"/>
      <c r="G470" s="8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9"/>
      <c r="E471" s="8"/>
      <c r="F471" s="9"/>
      <c r="G471" s="8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9"/>
      <c r="E472" s="8"/>
      <c r="F472" s="9"/>
      <c r="G472" s="8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9"/>
      <c r="E473" s="8"/>
      <c r="F473" s="9"/>
      <c r="G473" s="8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9"/>
      <c r="E474" s="8"/>
      <c r="F474" s="9"/>
      <c r="G474" s="8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9"/>
      <c r="E475" s="8"/>
      <c r="F475" s="9"/>
      <c r="G475" s="8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9"/>
      <c r="E476" s="8"/>
      <c r="F476" s="9"/>
      <c r="G476" s="8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9"/>
      <c r="E477" s="8"/>
      <c r="F477" s="9"/>
      <c r="G477" s="8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9"/>
      <c r="E478" s="8"/>
      <c r="F478" s="9"/>
      <c r="G478" s="8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9"/>
      <c r="E479" s="8"/>
      <c r="F479" s="9"/>
      <c r="G479" s="8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9"/>
      <c r="E480" s="8"/>
      <c r="F480" s="9"/>
      <c r="G480" s="8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9"/>
      <c r="E481" s="8"/>
      <c r="F481" s="9"/>
      <c r="G481" s="8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9"/>
      <c r="E482" s="8"/>
      <c r="F482" s="9"/>
      <c r="G482" s="8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9"/>
      <c r="E483" s="8"/>
      <c r="F483" s="9"/>
      <c r="G483" s="8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9"/>
      <c r="E484" s="8"/>
      <c r="F484" s="9"/>
      <c r="G484" s="8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9"/>
      <c r="E485" s="8"/>
      <c r="F485" s="9"/>
      <c r="G485" s="8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9"/>
      <c r="E486" s="8"/>
      <c r="F486" s="9"/>
      <c r="G486" s="8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9"/>
      <c r="E487" s="8"/>
      <c r="F487" s="9"/>
      <c r="G487" s="8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9"/>
      <c r="E488" s="8"/>
      <c r="F488" s="9"/>
      <c r="G488" s="8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9"/>
      <c r="E489" s="8"/>
      <c r="F489" s="9"/>
      <c r="G489" s="8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9"/>
      <c r="E490" s="8"/>
      <c r="F490" s="9"/>
      <c r="G490" s="8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9"/>
      <c r="E491" s="8"/>
      <c r="F491" s="9"/>
      <c r="G491" s="8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9"/>
      <c r="E492" s="8"/>
      <c r="F492" s="9"/>
      <c r="G492" s="8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9"/>
      <c r="E493" s="8"/>
      <c r="F493" s="9"/>
      <c r="G493" s="8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9"/>
      <c r="E494" s="8"/>
      <c r="F494" s="9"/>
      <c r="G494" s="8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9"/>
      <c r="E495" s="8"/>
      <c r="F495" s="9"/>
      <c r="G495" s="8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9"/>
      <c r="E496" s="8"/>
      <c r="F496" s="9"/>
      <c r="G496" s="8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9"/>
      <c r="E497" s="8"/>
      <c r="F497" s="9"/>
      <c r="G497" s="8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9"/>
      <c r="E498" s="8"/>
      <c r="F498" s="9"/>
      <c r="G498" s="8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9"/>
      <c r="E499" s="8"/>
      <c r="F499" s="9"/>
      <c r="G499" s="8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9"/>
      <c r="E500" s="8"/>
      <c r="F500" s="9"/>
      <c r="G500" s="8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9"/>
      <c r="E501" s="8"/>
      <c r="F501" s="9"/>
      <c r="G501" s="8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9"/>
      <c r="E502" s="8"/>
      <c r="F502" s="9"/>
      <c r="G502" s="8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9"/>
      <c r="E503" s="8"/>
      <c r="F503" s="9"/>
      <c r="G503" s="8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9"/>
      <c r="E504" s="8"/>
      <c r="F504" s="9"/>
      <c r="G504" s="8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9"/>
      <c r="E505" s="8"/>
      <c r="F505" s="9"/>
      <c r="G505" s="8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9"/>
      <c r="E506" s="8"/>
      <c r="F506" s="9"/>
      <c r="G506" s="8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9"/>
      <c r="E507" s="8"/>
      <c r="F507" s="9"/>
      <c r="G507" s="8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9"/>
      <c r="E508" s="8"/>
      <c r="F508" s="9"/>
      <c r="G508" s="8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9"/>
      <c r="E509" s="8"/>
      <c r="F509" s="9"/>
      <c r="G509" s="8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9"/>
      <c r="E510" s="8"/>
      <c r="F510" s="9"/>
      <c r="G510" s="8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9"/>
      <c r="E511" s="8"/>
      <c r="F511" s="9"/>
      <c r="G511" s="8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9"/>
      <c r="E512" s="8"/>
      <c r="F512" s="9"/>
      <c r="G512" s="8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9"/>
      <c r="E513" s="8"/>
      <c r="F513" s="9"/>
      <c r="G513" s="8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9"/>
      <c r="E514" s="8"/>
      <c r="F514" s="9"/>
      <c r="G514" s="8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9"/>
      <c r="E515" s="8"/>
      <c r="F515" s="9"/>
      <c r="G515" s="8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9"/>
      <c r="E516" s="8"/>
      <c r="F516" s="9"/>
      <c r="G516" s="8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9"/>
      <c r="E517" s="8"/>
      <c r="F517" s="9"/>
      <c r="G517" s="8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9"/>
      <c r="E518" s="8"/>
      <c r="F518" s="9"/>
      <c r="G518" s="8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9"/>
      <c r="E519" s="8"/>
      <c r="F519" s="9"/>
      <c r="G519" s="8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9"/>
      <c r="E520" s="8"/>
      <c r="F520" s="9"/>
      <c r="G520" s="8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9"/>
      <c r="E521" s="8"/>
      <c r="F521" s="9"/>
      <c r="G521" s="8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9"/>
      <c r="E522" s="8"/>
      <c r="F522" s="9"/>
      <c r="G522" s="8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9"/>
      <c r="E523" s="8"/>
      <c r="F523" s="9"/>
      <c r="G523" s="8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9"/>
      <c r="E524" s="8"/>
      <c r="F524" s="9"/>
      <c r="G524" s="8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9"/>
      <c r="E525" s="8"/>
      <c r="F525" s="9"/>
      <c r="G525" s="8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9"/>
      <c r="E526" s="8"/>
      <c r="F526" s="9"/>
      <c r="G526" s="8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9"/>
      <c r="E527" s="8"/>
      <c r="F527" s="9"/>
      <c r="G527" s="8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9"/>
      <c r="E528" s="8"/>
      <c r="F528" s="9"/>
      <c r="G528" s="8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9"/>
      <c r="E529" s="8"/>
      <c r="F529" s="9"/>
      <c r="G529" s="8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9"/>
      <c r="E530" s="8"/>
      <c r="F530" s="9"/>
      <c r="G530" s="8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9"/>
      <c r="E531" s="8"/>
      <c r="F531" s="9"/>
      <c r="G531" s="8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9"/>
      <c r="E532" s="8"/>
      <c r="F532" s="9"/>
      <c r="G532" s="8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9"/>
      <c r="E533" s="8"/>
      <c r="F533" s="9"/>
      <c r="G533" s="8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9"/>
      <c r="E534" s="8"/>
      <c r="F534" s="9"/>
      <c r="G534" s="8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9"/>
      <c r="E535" s="8"/>
      <c r="F535" s="9"/>
      <c r="G535" s="8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9"/>
      <c r="E536" s="8"/>
      <c r="F536" s="9"/>
      <c r="G536" s="8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9"/>
      <c r="E537" s="8"/>
      <c r="F537" s="9"/>
      <c r="G537" s="8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9"/>
      <c r="E538" s="8"/>
      <c r="F538" s="9"/>
      <c r="G538" s="8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9"/>
      <c r="E539" s="8"/>
      <c r="F539" s="9"/>
      <c r="G539" s="8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9"/>
      <c r="E540" s="8"/>
      <c r="F540" s="9"/>
      <c r="G540" s="8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9"/>
      <c r="E541" s="8"/>
      <c r="F541" s="9"/>
      <c r="G541" s="8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9"/>
      <c r="E542" s="8"/>
      <c r="F542" s="9"/>
      <c r="G542" s="8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9"/>
      <c r="E543" s="8"/>
      <c r="F543" s="9"/>
      <c r="G543" s="8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9"/>
      <c r="E544" s="8"/>
      <c r="F544" s="9"/>
      <c r="G544" s="8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9"/>
      <c r="E545" s="8"/>
      <c r="F545" s="9"/>
      <c r="G545" s="8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9"/>
      <c r="E546" s="8"/>
      <c r="F546" s="9"/>
      <c r="G546" s="8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9"/>
      <c r="E547" s="8"/>
      <c r="F547" s="9"/>
      <c r="G547" s="8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9"/>
      <c r="E548" s="8"/>
      <c r="F548" s="9"/>
      <c r="G548" s="8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9"/>
      <c r="E549" s="8"/>
      <c r="F549" s="9"/>
      <c r="G549" s="8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9"/>
      <c r="E550" s="8"/>
      <c r="F550" s="9"/>
      <c r="G550" s="8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9"/>
      <c r="E551" s="8"/>
      <c r="F551" s="9"/>
      <c r="G551" s="8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9"/>
      <c r="E552" s="8"/>
      <c r="F552" s="9"/>
      <c r="G552" s="8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9"/>
      <c r="E553" s="8"/>
      <c r="F553" s="9"/>
      <c r="G553" s="8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9"/>
      <c r="E554" s="8"/>
      <c r="F554" s="9"/>
      <c r="G554" s="8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9"/>
      <c r="E555" s="8"/>
      <c r="F555" s="9"/>
      <c r="G555" s="8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9"/>
      <c r="E556" s="8"/>
      <c r="F556" s="9"/>
      <c r="G556" s="8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9"/>
      <c r="E557" s="8"/>
      <c r="F557" s="9"/>
      <c r="G557" s="8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9"/>
      <c r="E558" s="8"/>
      <c r="F558" s="9"/>
      <c r="G558" s="8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9"/>
      <c r="E559" s="8"/>
      <c r="F559" s="9"/>
      <c r="G559" s="8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9"/>
      <c r="E560" s="8"/>
      <c r="F560" s="9"/>
      <c r="G560" s="8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9"/>
      <c r="E561" s="8"/>
      <c r="F561" s="9"/>
      <c r="G561" s="8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9"/>
      <c r="E562" s="8"/>
      <c r="F562" s="9"/>
      <c r="G562" s="8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9"/>
      <c r="E563" s="8"/>
      <c r="F563" s="9"/>
      <c r="G563" s="8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9"/>
      <c r="E564" s="8"/>
      <c r="F564" s="9"/>
      <c r="G564" s="8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9"/>
      <c r="E565" s="8"/>
      <c r="F565" s="9"/>
      <c r="G565" s="8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9"/>
      <c r="E566" s="8"/>
      <c r="F566" s="9"/>
      <c r="G566" s="8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9"/>
      <c r="E567" s="8"/>
      <c r="F567" s="9"/>
      <c r="G567" s="8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9"/>
      <c r="E568" s="8"/>
      <c r="F568" s="9"/>
      <c r="G568" s="8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9"/>
      <c r="E569" s="8"/>
      <c r="F569" s="9"/>
      <c r="G569" s="8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9"/>
      <c r="E570" s="8"/>
      <c r="F570" s="9"/>
      <c r="G570" s="8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9"/>
      <c r="E571" s="8"/>
      <c r="F571" s="9"/>
      <c r="G571" s="8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9"/>
      <c r="E572" s="8"/>
      <c r="F572" s="9"/>
      <c r="G572" s="8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9"/>
      <c r="E573" s="8"/>
      <c r="F573" s="9"/>
      <c r="G573" s="8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9"/>
      <c r="E574" s="8"/>
      <c r="F574" s="9"/>
      <c r="G574" s="8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9"/>
      <c r="E575" s="8"/>
      <c r="F575" s="9"/>
      <c r="G575" s="8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9"/>
      <c r="E576" s="8"/>
      <c r="F576" s="9"/>
      <c r="G576" s="8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9"/>
      <c r="E577" s="8"/>
      <c r="F577" s="9"/>
      <c r="G577" s="8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9"/>
      <c r="E578" s="8"/>
      <c r="F578" s="9"/>
      <c r="G578" s="8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9"/>
      <c r="E579" s="8"/>
      <c r="F579" s="9"/>
      <c r="G579" s="8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9"/>
      <c r="E580" s="8"/>
      <c r="F580" s="9"/>
      <c r="G580" s="8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9"/>
      <c r="E581" s="8"/>
      <c r="F581" s="9"/>
      <c r="G581" s="8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9"/>
      <c r="E582" s="8"/>
      <c r="F582" s="9"/>
      <c r="G582" s="8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9"/>
      <c r="E583" s="8"/>
      <c r="F583" s="9"/>
      <c r="G583" s="8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9"/>
      <c r="E584" s="8"/>
      <c r="F584" s="9"/>
      <c r="G584" s="8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9"/>
      <c r="E585" s="8"/>
      <c r="F585" s="9"/>
      <c r="G585" s="8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9"/>
      <c r="E586" s="8"/>
      <c r="F586" s="9"/>
      <c r="G586" s="8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9"/>
      <c r="E587" s="8"/>
      <c r="F587" s="9"/>
      <c r="G587" s="8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9"/>
      <c r="E588" s="8"/>
      <c r="F588" s="9"/>
      <c r="G588" s="8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9"/>
      <c r="E589" s="8"/>
      <c r="F589" s="9"/>
      <c r="G589" s="8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9"/>
      <c r="E590" s="8"/>
      <c r="F590" s="9"/>
      <c r="G590" s="8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9"/>
      <c r="E591" s="8"/>
      <c r="F591" s="9"/>
      <c r="G591" s="8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9"/>
      <c r="E592" s="8"/>
      <c r="F592" s="9"/>
      <c r="G592" s="8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9"/>
      <c r="E593" s="8"/>
      <c r="F593" s="9"/>
      <c r="G593" s="8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9"/>
      <c r="E594" s="8"/>
      <c r="F594" s="9"/>
      <c r="G594" s="8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9"/>
      <c r="E595" s="8"/>
      <c r="F595" s="9"/>
      <c r="G595" s="8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9"/>
      <c r="E596" s="8"/>
      <c r="F596" s="9"/>
      <c r="G596" s="8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9"/>
      <c r="E597" s="8"/>
      <c r="F597" s="9"/>
      <c r="G597" s="8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9"/>
      <c r="E598" s="8"/>
      <c r="F598" s="9"/>
      <c r="G598" s="8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9"/>
      <c r="E599" s="8"/>
      <c r="F599" s="9"/>
      <c r="G599" s="8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9"/>
      <c r="E600" s="8"/>
      <c r="F600" s="9"/>
      <c r="G600" s="8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9"/>
      <c r="E601" s="8"/>
      <c r="F601" s="9"/>
      <c r="G601" s="8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9"/>
      <c r="E602" s="8"/>
      <c r="F602" s="9"/>
      <c r="G602" s="8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9"/>
      <c r="E603" s="8"/>
      <c r="F603" s="9"/>
      <c r="G603" s="8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9"/>
      <c r="E604" s="8"/>
      <c r="F604" s="9"/>
      <c r="G604" s="8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9"/>
      <c r="E605" s="8"/>
      <c r="F605" s="9"/>
      <c r="G605" s="8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9"/>
      <c r="E606" s="8"/>
      <c r="F606" s="9"/>
      <c r="G606" s="8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9"/>
      <c r="E607" s="8"/>
      <c r="F607" s="9"/>
      <c r="G607" s="8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9"/>
      <c r="E608" s="8"/>
      <c r="F608" s="9"/>
      <c r="G608" s="8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9"/>
      <c r="E609" s="8"/>
      <c r="F609" s="9"/>
      <c r="G609" s="8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9"/>
      <c r="E610" s="8"/>
      <c r="F610" s="9"/>
      <c r="G610" s="8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9"/>
      <c r="E611" s="8"/>
      <c r="F611" s="9"/>
      <c r="G611" s="8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9"/>
      <c r="E612" s="8"/>
      <c r="F612" s="9"/>
      <c r="G612" s="8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9"/>
      <c r="E613" s="8"/>
      <c r="F613" s="9"/>
      <c r="G613" s="8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9"/>
      <c r="E614" s="8"/>
      <c r="F614" s="9"/>
      <c r="G614" s="8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9"/>
      <c r="E615" s="8"/>
      <c r="F615" s="9"/>
      <c r="G615" s="8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9"/>
      <c r="E616" s="8"/>
      <c r="F616" s="9"/>
      <c r="G616" s="8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9"/>
      <c r="E617" s="8"/>
      <c r="F617" s="9"/>
      <c r="G617" s="8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9"/>
      <c r="E618" s="8"/>
      <c r="F618" s="9"/>
      <c r="G618" s="8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9"/>
      <c r="E619" s="8"/>
      <c r="F619" s="9"/>
      <c r="G619" s="8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9"/>
      <c r="E620" s="8"/>
      <c r="F620" s="9"/>
      <c r="G620" s="8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9"/>
      <c r="E621" s="8"/>
      <c r="F621" s="9"/>
      <c r="G621" s="8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9"/>
      <c r="E622" s="8"/>
      <c r="F622" s="9"/>
      <c r="G622" s="8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9"/>
      <c r="E623" s="8"/>
      <c r="F623" s="9"/>
      <c r="G623" s="8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9"/>
      <c r="E624" s="8"/>
      <c r="F624" s="9"/>
      <c r="G624" s="8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9"/>
      <c r="E625" s="8"/>
      <c r="F625" s="9"/>
      <c r="G625" s="8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9"/>
      <c r="E626" s="8"/>
      <c r="F626" s="9"/>
      <c r="G626" s="8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9"/>
      <c r="E627" s="8"/>
      <c r="F627" s="9"/>
      <c r="G627" s="8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9"/>
      <c r="E628" s="8"/>
      <c r="F628" s="9"/>
      <c r="G628" s="8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9"/>
      <c r="E629" s="8"/>
      <c r="F629" s="9"/>
      <c r="G629" s="8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9"/>
      <c r="E630" s="8"/>
      <c r="F630" s="9"/>
      <c r="G630" s="8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9"/>
      <c r="E631" s="8"/>
      <c r="F631" s="9"/>
      <c r="G631" s="8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9"/>
      <c r="E632" s="8"/>
      <c r="F632" s="9"/>
      <c r="G632" s="8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9"/>
      <c r="E633" s="8"/>
      <c r="F633" s="9"/>
      <c r="G633" s="8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9"/>
      <c r="E634" s="8"/>
      <c r="F634" s="9"/>
      <c r="G634" s="8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9"/>
      <c r="E635" s="8"/>
      <c r="F635" s="9"/>
      <c r="G635" s="8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9"/>
      <c r="E636" s="8"/>
      <c r="F636" s="9"/>
      <c r="G636" s="8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9"/>
      <c r="E637" s="8"/>
      <c r="F637" s="9"/>
      <c r="G637" s="8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9"/>
      <c r="E638" s="8"/>
      <c r="F638" s="9"/>
      <c r="G638" s="8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9"/>
      <c r="E639" s="8"/>
      <c r="F639" s="9"/>
      <c r="G639" s="8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9"/>
      <c r="E640" s="8"/>
      <c r="F640" s="9"/>
      <c r="G640" s="8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9"/>
      <c r="E641" s="8"/>
      <c r="F641" s="9"/>
      <c r="G641" s="8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9"/>
      <c r="E642" s="8"/>
      <c r="F642" s="9"/>
      <c r="G642" s="8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9"/>
      <c r="E643" s="8"/>
      <c r="F643" s="9"/>
      <c r="G643" s="8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9"/>
      <c r="E644" s="8"/>
      <c r="F644" s="9"/>
      <c r="G644" s="8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9"/>
      <c r="E645" s="8"/>
      <c r="F645" s="9"/>
      <c r="G645" s="8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9"/>
      <c r="E646" s="8"/>
      <c r="F646" s="9"/>
      <c r="G646" s="8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9"/>
      <c r="E647" s="8"/>
      <c r="F647" s="9"/>
      <c r="G647" s="8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9"/>
      <c r="E648" s="8"/>
      <c r="F648" s="9"/>
      <c r="G648" s="8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9"/>
      <c r="E649" s="8"/>
      <c r="F649" s="9"/>
      <c r="G649" s="8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9"/>
      <c r="E650" s="8"/>
      <c r="F650" s="9"/>
      <c r="G650" s="8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9"/>
      <c r="E651" s="8"/>
      <c r="F651" s="9"/>
      <c r="G651" s="8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9"/>
      <c r="E652" s="8"/>
      <c r="F652" s="9"/>
      <c r="G652" s="8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9"/>
      <c r="E653" s="8"/>
      <c r="F653" s="9"/>
      <c r="G653" s="8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9"/>
      <c r="E654" s="8"/>
      <c r="F654" s="9"/>
      <c r="G654" s="8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9"/>
      <c r="E655" s="8"/>
      <c r="F655" s="9"/>
      <c r="G655" s="8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9"/>
      <c r="E656" s="8"/>
      <c r="F656" s="9"/>
      <c r="G656" s="8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9"/>
      <c r="E657" s="8"/>
      <c r="F657" s="9"/>
      <c r="G657" s="8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9"/>
      <c r="E658" s="8"/>
      <c r="F658" s="9"/>
      <c r="G658" s="8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9"/>
      <c r="E659" s="8"/>
      <c r="F659" s="9"/>
      <c r="G659" s="8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9"/>
      <c r="E660" s="8"/>
      <c r="F660" s="9"/>
      <c r="G660" s="8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9"/>
      <c r="E661" s="8"/>
      <c r="F661" s="9"/>
      <c r="G661" s="8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9"/>
      <c r="E662" s="8"/>
      <c r="F662" s="9"/>
      <c r="G662" s="8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9"/>
      <c r="E663" s="8"/>
      <c r="F663" s="9"/>
      <c r="G663" s="8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9"/>
      <c r="E664" s="8"/>
      <c r="F664" s="9"/>
      <c r="G664" s="8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9"/>
      <c r="E665" s="8"/>
      <c r="F665" s="9"/>
      <c r="G665" s="8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9"/>
      <c r="E666" s="8"/>
      <c r="F666" s="9"/>
      <c r="G666" s="8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9"/>
      <c r="E667" s="8"/>
      <c r="F667" s="9"/>
      <c r="G667" s="8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9"/>
      <c r="E668" s="8"/>
      <c r="F668" s="9"/>
      <c r="G668" s="8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9"/>
      <c r="E669" s="8"/>
      <c r="F669" s="9"/>
      <c r="G669" s="8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9"/>
      <c r="E670" s="8"/>
      <c r="F670" s="9"/>
      <c r="G670" s="8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9"/>
      <c r="E671" s="8"/>
      <c r="F671" s="9"/>
      <c r="G671" s="8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9"/>
      <c r="E672" s="8"/>
      <c r="F672" s="9"/>
      <c r="G672" s="8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9"/>
      <c r="E673" s="8"/>
      <c r="F673" s="9"/>
      <c r="G673" s="8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9"/>
      <c r="E674" s="8"/>
      <c r="F674" s="9"/>
      <c r="G674" s="8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9"/>
      <c r="E675" s="8"/>
      <c r="F675" s="9"/>
      <c r="G675" s="8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9"/>
      <c r="E676" s="8"/>
      <c r="F676" s="9"/>
      <c r="G676" s="8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9"/>
      <c r="E677" s="8"/>
      <c r="F677" s="9"/>
      <c r="G677" s="8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9"/>
      <c r="E678" s="8"/>
      <c r="F678" s="9"/>
      <c r="G678" s="8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9"/>
      <c r="E679" s="8"/>
      <c r="F679" s="9"/>
      <c r="G679" s="8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9"/>
      <c r="E680" s="8"/>
      <c r="F680" s="9"/>
      <c r="G680" s="8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9"/>
      <c r="E681" s="8"/>
      <c r="F681" s="9"/>
      <c r="G681" s="8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9"/>
      <c r="E682" s="8"/>
      <c r="F682" s="9"/>
      <c r="G682" s="8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9"/>
      <c r="E683" s="8"/>
      <c r="F683" s="9"/>
      <c r="G683" s="8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9"/>
      <c r="E684" s="8"/>
      <c r="F684" s="9"/>
      <c r="G684" s="8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9"/>
      <c r="E685" s="8"/>
      <c r="F685" s="9"/>
      <c r="G685" s="8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9"/>
      <c r="E686" s="8"/>
      <c r="F686" s="9"/>
      <c r="G686" s="8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9"/>
      <c r="E687" s="8"/>
      <c r="F687" s="9"/>
      <c r="G687" s="8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9"/>
      <c r="E688" s="8"/>
      <c r="F688" s="9"/>
      <c r="G688" s="8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9"/>
      <c r="E689" s="8"/>
      <c r="F689" s="9"/>
      <c r="G689" s="8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9"/>
      <c r="E690" s="8"/>
      <c r="F690" s="9"/>
      <c r="G690" s="8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9"/>
      <c r="E691" s="8"/>
      <c r="F691" s="9"/>
      <c r="G691" s="8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9"/>
      <c r="E692" s="8"/>
      <c r="F692" s="9"/>
      <c r="G692" s="8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9"/>
      <c r="E693" s="8"/>
      <c r="F693" s="9"/>
      <c r="G693" s="8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9"/>
      <c r="E694" s="8"/>
      <c r="F694" s="9"/>
      <c r="G694" s="8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9"/>
      <c r="E695" s="8"/>
      <c r="F695" s="9"/>
      <c r="G695" s="8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9"/>
      <c r="E696" s="8"/>
      <c r="F696" s="9"/>
      <c r="G696" s="8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9"/>
      <c r="E697" s="8"/>
      <c r="F697" s="9"/>
      <c r="G697" s="8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9"/>
      <c r="E698" s="8"/>
      <c r="F698" s="9"/>
      <c r="G698" s="8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9"/>
      <c r="E699" s="8"/>
      <c r="F699" s="9"/>
      <c r="G699" s="8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9"/>
      <c r="E700" s="8"/>
      <c r="F700" s="9"/>
      <c r="G700" s="8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9"/>
      <c r="E701" s="8"/>
      <c r="F701" s="9"/>
      <c r="G701" s="8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9"/>
      <c r="E702" s="8"/>
      <c r="F702" s="9"/>
      <c r="G702" s="8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9"/>
      <c r="E703" s="8"/>
      <c r="F703" s="9"/>
      <c r="G703" s="8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9"/>
      <c r="E704" s="8"/>
      <c r="F704" s="9"/>
      <c r="G704" s="8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9"/>
      <c r="E705" s="8"/>
      <c r="F705" s="9"/>
      <c r="G705" s="8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9"/>
      <c r="E706" s="8"/>
      <c r="F706" s="9"/>
      <c r="G706" s="8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9"/>
      <c r="E707" s="8"/>
      <c r="F707" s="9"/>
      <c r="G707" s="8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9"/>
      <c r="E708" s="8"/>
      <c r="F708" s="9"/>
      <c r="G708" s="8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9"/>
      <c r="E709" s="8"/>
      <c r="F709" s="9"/>
      <c r="G709" s="8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9"/>
      <c r="E710" s="8"/>
      <c r="F710" s="9"/>
      <c r="G710" s="8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9"/>
      <c r="E711" s="8"/>
      <c r="F711" s="9"/>
      <c r="G711" s="8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9"/>
      <c r="E712" s="8"/>
      <c r="F712" s="9"/>
      <c r="G712" s="8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9"/>
      <c r="E713" s="8"/>
      <c r="F713" s="9"/>
      <c r="G713" s="8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9"/>
      <c r="E714" s="8"/>
      <c r="F714" s="9"/>
      <c r="G714" s="8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9"/>
      <c r="E715" s="8"/>
      <c r="F715" s="9"/>
      <c r="G715" s="8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9"/>
      <c r="E716" s="8"/>
      <c r="F716" s="9"/>
      <c r="G716" s="8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9"/>
      <c r="E717" s="8"/>
      <c r="F717" s="9"/>
      <c r="G717" s="8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9"/>
      <c r="E718" s="8"/>
      <c r="F718" s="9"/>
      <c r="G718" s="8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9"/>
      <c r="E719" s="8"/>
      <c r="F719" s="9"/>
      <c r="G719" s="8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9"/>
      <c r="E720" s="8"/>
      <c r="F720" s="9"/>
      <c r="G720" s="8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9"/>
      <c r="E721" s="8"/>
      <c r="F721" s="9"/>
      <c r="G721" s="8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9"/>
      <c r="E722" s="8"/>
      <c r="F722" s="9"/>
      <c r="G722" s="8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9"/>
      <c r="E723" s="8"/>
      <c r="F723" s="9"/>
      <c r="G723" s="8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9"/>
      <c r="E724" s="8"/>
      <c r="F724" s="9"/>
      <c r="G724" s="8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9"/>
      <c r="E725" s="8"/>
      <c r="F725" s="9"/>
      <c r="G725" s="8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9"/>
      <c r="E726" s="8"/>
      <c r="F726" s="9"/>
      <c r="G726" s="8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9"/>
      <c r="E727" s="8"/>
      <c r="F727" s="9"/>
      <c r="G727" s="8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9"/>
      <c r="E728" s="8"/>
      <c r="F728" s="9"/>
      <c r="G728" s="8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9"/>
      <c r="E729" s="8"/>
      <c r="F729" s="9"/>
      <c r="G729" s="8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9"/>
      <c r="E730" s="8"/>
      <c r="F730" s="9"/>
      <c r="G730" s="8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9"/>
      <c r="E731" s="8"/>
      <c r="F731" s="9"/>
      <c r="G731" s="8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9"/>
      <c r="E732" s="8"/>
      <c r="F732" s="9"/>
      <c r="G732" s="8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9"/>
      <c r="E733" s="8"/>
      <c r="F733" s="9"/>
      <c r="G733" s="8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9"/>
      <c r="E734" s="8"/>
      <c r="F734" s="9"/>
      <c r="G734" s="8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9"/>
      <c r="E735" s="8"/>
      <c r="F735" s="9"/>
      <c r="G735" s="8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9"/>
      <c r="E736" s="8"/>
      <c r="F736" s="9"/>
      <c r="G736" s="8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9"/>
      <c r="E737" s="8"/>
      <c r="F737" s="9"/>
      <c r="G737" s="8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9"/>
      <c r="E738" s="8"/>
      <c r="F738" s="9"/>
      <c r="G738" s="8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9"/>
      <c r="E739" s="8"/>
      <c r="F739" s="9"/>
      <c r="G739" s="8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9"/>
      <c r="E740" s="8"/>
      <c r="F740" s="9"/>
      <c r="G740" s="8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9"/>
      <c r="E741" s="8"/>
      <c r="F741" s="9"/>
      <c r="G741" s="8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9"/>
      <c r="E742" s="8"/>
      <c r="F742" s="9"/>
      <c r="G742" s="8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9"/>
      <c r="E743" s="8"/>
      <c r="F743" s="9"/>
      <c r="G743" s="8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9"/>
      <c r="E744" s="8"/>
      <c r="F744" s="9"/>
      <c r="G744" s="8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9"/>
      <c r="E745" s="8"/>
      <c r="F745" s="9"/>
      <c r="G745" s="8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9"/>
      <c r="E746" s="8"/>
      <c r="F746" s="9"/>
      <c r="G746" s="8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9"/>
      <c r="E747" s="8"/>
      <c r="F747" s="9"/>
      <c r="G747" s="8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9"/>
      <c r="E748" s="8"/>
      <c r="F748" s="9"/>
      <c r="G748" s="8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9"/>
      <c r="E749" s="8"/>
      <c r="F749" s="9"/>
      <c r="G749" s="8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9"/>
      <c r="E750" s="8"/>
      <c r="F750" s="9"/>
      <c r="G750" s="8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9"/>
      <c r="E751" s="8"/>
      <c r="F751" s="9"/>
      <c r="G751" s="8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9"/>
      <c r="E752" s="8"/>
      <c r="F752" s="9"/>
      <c r="G752" s="8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9"/>
      <c r="E753" s="8"/>
      <c r="F753" s="9"/>
      <c r="G753" s="8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9"/>
      <c r="E754" s="8"/>
      <c r="F754" s="9"/>
      <c r="G754" s="8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9"/>
      <c r="E755" s="8"/>
      <c r="F755" s="9"/>
      <c r="G755" s="8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9"/>
      <c r="E756" s="8"/>
      <c r="F756" s="9"/>
      <c r="G756" s="8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9"/>
      <c r="E757" s="8"/>
      <c r="F757" s="9"/>
      <c r="G757" s="8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9"/>
      <c r="E758" s="8"/>
      <c r="F758" s="9"/>
      <c r="G758" s="8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9"/>
      <c r="E759" s="8"/>
      <c r="F759" s="9"/>
      <c r="G759" s="8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9"/>
      <c r="E760" s="8"/>
      <c r="F760" s="9"/>
      <c r="G760" s="8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9"/>
      <c r="E761" s="8"/>
      <c r="F761" s="9"/>
      <c r="G761" s="8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9"/>
      <c r="E762" s="8"/>
      <c r="F762" s="9"/>
      <c r="G762" s="8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9"/>
      <c r="E763" s="8"/>
      <c r="F763" s="9"/>
      <c r="G763" s="8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9"/>
      <c r="E764" s="8"/>
      <c r="F764" s="9"/>
      <c r="G764" s="8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9"/>
      <c r="E765" s="8"/>
      <c r="F765" s="9"/>
      <c r="G765" s="8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9"/>
      <c r="E766" s="8"/>
      <c r="F766" s="9"/>
      <c r="G766" s="8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9"/>
      <c r="E767" s="8"/>
      <c r="F767" s="9"/>
      <c r="G767" s="8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9"/>
      <c r="E768" s="8"/>
      <c r="F768" s="9"/>
      <c r="G768" s="8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9"/>
      <c r="E769" s="8"/>
      <c r="F769" s="9"/>
      <c r="G769" s="8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9"/>
      <c r="E770" s="8"/>
      <c r="F770" s="9"/>
      <c r="G770" s="8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9"/>
      <c r="E771" s="8"/>
      <c r="F771" s="9"/>
      <c r="G771" s="8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9"/>
      <c r="E772" s="8"/>
      <c r="F772" s="9"/>
      <c r="G772" s="8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9"/>
      <c r="E773" s="8"/>
      <c r="F773" s="9"/>
      <c r="G773" s="8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9"/>
      <c r="E774" s="8"/>
      <c r="F774" s="9"/>
      <c r="G774" s="8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9"/>
      <c r="E775" s="8"/>
      <c r="F775" s="9"/>
      <c r="G775" s="8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9"/>
      <c r="E776" s="8"/>
      <c r="F776" s="9"/>
      <c r="G776" s="8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9"/>
      <c r="E777" s="8"/>
      <c r="F777" s="9"/>
      <c r="G777" s="8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9"/>
      <c r="E778" s="8"/>
      <c r="F778" s="9"/>
      <c r="G778" s="8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9"/>
      <c r="E779" s="8"/>
      <c r="F779" s="9"/>
      <c r="G779" s="8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9"/>
      <c r="E780" s="8"/>
      <c r="F780" s="9"/>
      <c r="G780" s="8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9"/>
      <c r="E781" s="8"/>
      <c r="F781" s="9"/>
      <c r="G781" s="8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9"/>
      <c r="E782" s="8"/>
      <c r="F782" s="9"/>
      <c r="G782" s="8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9"/>
      <c r="E783" s="8"/>
      <c r="F783" s="9"/>
      <c r="G783" s="8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9"/>
      <c r="E784" s="8"/>
      <c r="F784" s="9"/>
      <c r="G784" s="8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9"/>
      <c r="E785" s="8"/>
      <c r="F785" s="9"/>
      <c r="G785" s="8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9"/>
      <c r="E786" s="8"/>
      <c r="F786" s="9"/>
      <c r="G786" s="8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9"/>
      <c r="E787" s="8"/>
      <c r="F787" s="9"/>
      <c r="G787" s="8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9"/>
      <c r="E788" s="8"/>
      <c r="F788" s="9"/>
      <c r="G788" s="8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9"/>
      <c r="E789" s="8"/>
      <c r="F789" s="9"/>
      <c r="G789" s="8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9"/>
      <c r="E790" s="8"/>
      <c r="F790" s="9"/>
      <c r="G790" s="8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9"/>
      <c r="E791" s="8"/>
      <c r="F791" s="9"/>
      <c r="G791" s="8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9"/>
      <c r="E792" s="8"/>
      <c r="F792" s="9"/>
      <c r="G792" s="8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9"/>
      <c r="E793" s="8"/>
      <c r="F793" s="9"/>
      <c r="G793" s="8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9"/>
      <c r="E794" s="8"/>
      <c r="F794" s="9"/>
      <c r="G794" s="8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9"/>
      <c r="E795" s="8"/>
      <c r="F795" s="9"/>
      <c r="G795" s="8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9"/>
      <c r="E796" s="8"/>
      <c r="F796" s="9"/>
      <c r="G796" s="8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9"/>
      <c r="E797" s="8"/>
      <c r="F797" s="9"/>
      <c r="G797" s="8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9"/>
      <c r="E798" s="8"/>
      <c r="F798" s="9"/>
      <c r="G798" s="8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9"/>
      <c r="E799" s="8"/>
      <c r="F799" s="9"/>
      <c r="G799" s="8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9"/>
      <c r="E800" s="8"/>
      <c r="F800" s="9"/>
      <c r="G800" s="8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9"/>
      <c r="E801" s="8"/>
      <c r="F801" s="9"/>
      <c r="G801" s="8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9"/>
      <c r="E802" s="8"/>
      <c r="F802" s="9"/>
      <c r="G802" s="8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9"/>
      <c r="E803" s="8"/>
      <c r="F803" s="9"/>
      <c r="G803" s="8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9"/>
      <c r="E804" s="8"/>
      <c r="F804" s="9"/>
      <c r="G804" s="8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9"/>
      <c r="E805" s="8"/>
      <c r="F805" s="9"/>
      <c r="G805" s="8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9"/>
      <c r="E806" s="8"/>
      <c r="F806" s="9"/>
      <c r="G806" s="8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9"/>
      <c r="E807" s="8"/>
      <c r="F807" s="9"/>
      <c r="G807" s="8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9"/>
      <c r="E808" s="8"/>
      <c r="F808" s="9"/>
      <c r="G808" s="8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9"/>
      <c r="E809" s="8"/>
      <c r="F809" s="9"/>
      <c r="G809" s="8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9"/>
      <c r="E810" s="8"/>
      <c r="F810" s="9"/>
      <c r="G810" s="8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9"/>
      <c r="E811" s="8"/>
      <c r="F811" s="9"/>
      <c r="G811" s="8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9"/>
      <c r="E812" s="8"/>
      <c r="F812" s="9"/>
      <c r="G812" s="8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9"/>
      <c r="E813" s="8"/>
      <c r="F813" s="9"/>
      <c r="G813" s="8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9"/>
      <c r="E814" s="8"/>
      <c r="F814" s="9"/>
      <c r="G814" s="8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9"/>
      <c r="E815" s="8"/>
      <c r="F815" s="9"/>
      <c r="G815" s="8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9"/>
      <c r="E816" s="8"/>
      <c r="F816" s="9"/>
      <c r="G816" s="8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9"/>
      <c r="E817" s="8"/>
      <c r="F817" s="9"/>
      <c r="G817" s="8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9"/>
      <c r="E818" s="8"/>
      <c r="F818" s="9"/>
      <c r="G818" s="8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9"/>
      <c r="E819" s="8"/>
      <c r="F819" s="9"/>
      <c r="G819" s="8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9"/>
      <c r="E820" s="8"/>
      <c r="F820" s="9"/>
      <c r="G820" s="8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9"/>
      <c r="E821" s="8"/>
      <c r="F821" s="9"/>
      <c r="G821" s="8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9"/>
      <c r="E822" s="8"/>
      <c r="F822" s="9"/>
      <c r="G822" s="8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9"/>
      <c r="E823" s="8"/>
      <c r="F823" s="9"/>
      <c r="G823" s="8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9"/>
      <c r="E824" s="8"/>
      <c r="F824" s="9"/>
      <c r="G824" s="8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9"/>
      <c r="E825" s="8"/>
      <c r="F825" s="9"/>
      <c r="G825" s="8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9"/>
      <c r="E826" s="8"/>
      <c r="F826" s="9"/>
      <c r="G826" s="8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9"/>
      <c r="E827" s="8"/>
      <c r="F827" s="9"/>
      <c r="G827" s="8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9"/>
      <c r="E828" s="8"/>
      <c r="F828" s="9"/>
      <c r="G828" s="8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9"/>
      <c r="E829" s="8"/>
      <c r="F829" s="9"/>
      <c r="G829" s="8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9"/>
      <c r="E830" s="8"/>
      <c r="F830" s="9"/>
      <c r="G830" s="8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9"/>
      <c r="E831" s="8"/>
      <c r="F831" s="9"/>
      <c r="G831" s="8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9"/>
      <c r="E832" s="8"/>
      <c r="F832" s="9"/>
      <c r="G832" s="8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9"/>
      <c r="E833" s="8"/>
      <c r="F833" s="9"/>
      <c r="G833" s="8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9"/>
      <c r="E834" s="8"/>
      <c r="F834" s="9"/>
      <c r="G834" s="8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9"/>
      <c r="E835" s="8"/>
      <c r="F835" s="9"/>
      <c r="G835" s="8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9"/>
      <c r="E836" s="8"/>
      <c r="F836" s="9"/>
      <c r="G836" s="8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9"/>
      <c r="E837" s="8"/>
      <c r="F837" s="9"/>
      <c r="G837" s="8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9"/>
      <c r="E838" s="8"/>
      <c r="F838" s="9"/>
      <c r="G838" s="8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9"/>
      <c r="E839" s="8"/>
      <c r="F839" s="9"/>
      <c r="G839" s="8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9"/>
      <c r="E840" s="8"/>
      <c r="F840" s="9"/>
      <c r="G840" s="8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9"/>
      <c r="E841" s="8"/>
      <c r="F841" s="9"/>
      <c r="G841" s="8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9"/>
      <c r="E842" s="8"/>
      <c r="F842" s="9"/>
      <c r="G842" s="8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9"/>
      <c r="E843" s="8"/>
      <c r="F843" s="9"/>
      <c r="G843" s="8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9"/>
      <c r="E844" s="8"/>
      <c r="F844" s="9"/>
      <c r="G844" s="8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9"/>
      <c r="E845" s="8"/>
      <c r="F845" s="9"/>
      <c r="G845" s="8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9"/>
      <c r="E846" s="8"/>
      <c r="F846" s="9"/>
      <c r="G846" s="8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9"/>
      <c r="E847" s="8"/>
      <c r="F847" s="9"/>
      <c r="G847" s="8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9"/>
      <c r="E848" s="8"/>
      <c r="F848" s="9"/>
      <c r="G848" s="8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9"/>
      <c r="E849" s="8"/>
      <c r="F849" s="9"/>
      <c r="G849" s="8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9"/>
      <c r="E850" s="8"/>
      <c r="F850" s="9"/>
      <c r="G850" s="8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9"/>
      <c r="E851" s="8"/>
      <c r="F851" s="9"/>
      <c r="G851" s="8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9"/>
      <c r="E852" s="8"/>
      <c r="F852" s="9"/>
      <c r="G852" s="8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9"/>
      <c r="E853" s="8"/>
      <c r="F853" s="9"/>
      <c r="G853" s="8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9"/>
      <c r="E854" s="8"/>
      <c r="F854" s="9"/>
      <c r="G854" s="8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9"/>
      <c r="E855" s="8"/>
      <c r="F855" s="9"/>
      <c r="G855" s="8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9"/>
      <c r="E856" s="8"/>
      <c r="F856" s="9"/>
      <c r="G856" s="8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9"/>
      <c r="E857" s="8"/>
      <c r="F857" s="9"/>
      <c r="G857" s="8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9"/>
      <c r="E858" s="8"/>
      <c r="F858" s="9"/>
      <c r="G858" s="8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9"/>
      <c r="E859" s="8"/>
      <c r="F859" s="9"/>
      <c r="G859" s="8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9"/>
      <c r="E860" s="8"/>
      <c r="F860" s="9"/>
      <c r="G860" s="8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9"/>
      <c r="E861" s="8"/>
      <c r="F861" s="9"/>
      <c r="G861" s="8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9"/>
      <c r="E862" s="8"/>
      <c r="F862" s="9"/>
      <c r="G862" s="8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9"/>
      <c r="E863" s="8"/>
      <c r="F863" s="9"/>
      <c r="G863" s="8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9"/>
      <c r="E864" s="8"/>
      <c r="F864" s="9"/>
      <c r="G864" s="8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9"/>
      <c r="E865" s="8"/>
      <c r="F865" s="9"/>
      <c r="G865" s="8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9"/>
      <c r="E866" s="8"/>
      <c r="F866" s="9"/>
      <c r="G866" s="8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9"/>
      <c r="E867" s="8"/>
      <c r="F867" s="9"/>
      <c r="G867" s="8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9"/>
      <c r="E868" s="8"/>
      <c r="F868" s="9"/>
      <c r="G868" s="8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9"/>
      <c r="E869" s="8"/>
      <c r="F869" s="9"/>
      <c r="G869" s="8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9"/>
      <c r="E870" s="8"/>
      <c r="F870" s="9"/>
      <c r="G870" s="8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9"/>
      <c r="E871" s="8"/>
      <c r="F871" s="9"/>
      <c r="G871" s="8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9"/>
      <c r="E872" s="8"/>
      <c r="F872" s="9"/>
      <c r="G872" s="8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9"/>
      <c r="E873" s="8"/>
      <c r="F873" s="9"/>
      <c r="G873" s="8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9"/>
      <c r="E874" s="8"/>
      <c r="F874" s="9"/>
      <c r="G874" s="8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9"/>
      <c r="E875" s="8"/>
      <c r="F875" s="9"/>
      <c r="G875" s="8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9"/>
      <c r="E876" s="8"/>
      <c r="F876" s="9"/>
      <c r="G876" s="8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9"/>
      <c r="E877" s="8"/>
      <c r="F877" s="9"/>
      <c r="G877" s="8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9"/>
      <c r="E878" s="8"/>
      <c r="F878" s="9"/>
      <c r="G878" s="8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9"/>
      <c r="E879" s="8"/>
      <c r="F879" s="9"/>
      <c r="G879" s="8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9"/>
      <c r="E880" s="8"/>
      <c r="F880" s="9"/>
      <c r="G880" s="8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9"/>
      <c r="E881" s="8"/>
      <c r="F881" s="9"/>
      <c r="G881" s="8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9"/>
      <c r="E882" s="8"/>
      <c r="F882" s="9"/>
      <c r="G882" s="8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9"/>
      <c r="E883" s="8"/>
      <c r="F883" s="9"/>
      <c r="G883" s="8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9"/>
      <c r="E884" s="8"/>
      <c r="F884" s="9"/>
      <c r="G884" s="8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9"/>
      <c r="E885" s="8"/>
      <c r="F885" s="9"/>
      <c r="G885" s="8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9"/>
      <c r="E886" s="8"/>
      <c r="F886" s="9"/>
      <c r="G886" s="8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9"/>
      <c r="E887" s="8"/>
      <c r="F887" s="9"/>
      <c r="G887" s="8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9"/>
      <c r="E888" s="8"/>
      <c r="F888" s="9"/>
      <c r="G888" s="8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9"/>
      <c r="E889" s="8"/>
      <c r="F889" s="9"/>
      <c r="G889" s="8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9"/>
      <c r="E890" s="8"/>
      <c r="F890" s="9"/>
      <c r="G890" s="8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9"/>
      <c r="E891" s="8"/>
      <c r="F891" s="9"/>
      <c r="G891" s="8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9"/>
      <c r="E892" s="8"/>
      <c r="F892" s="9"/>
      <c r="G892" s="8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9"/>
      <c r="E893" s="8"/>
      <c r="F893" s="9"/>
      <c r="G893" s="8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9"/>
      <c r="E894" s="8"/>
      <c r="F894" s="9"/>
      <c r="G894" s="8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9"/>
      <c r="E895" s="8"/>
      <c r="F895" s="9"/>
      <c r="G895" s="8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9"/>
      <c r="E896" s="8"/>
      <c r="F896" s="9"/>
      <c r="G896" s="8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9"/>
      <c r="E897" s="8"/>
      <c r="F897" s="9"/>
      <c r="G897" s="8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9"/>
      <c r="E898" s="8"/>
      <c r="F898" s="9"/>
      <c r="G898" s="8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9"/>
      <c r="E899" s="8"/>
      <c r="F899" s="9"/>
      <c r="G899" s="8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9"/>
      <c r="E900" s="8"/>
      <c r="F900" s="9"/>
      <c r="G900" s="8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9"/>
      <c r="E901" s="8"/>
      <c r="F901" s="9"/>
      <c r="G901" s="8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9"/>
      <c r="E902" s="8"/>
      <c r="F902" s="9"/>
      <c r="G902" s="8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9"/>
      <c r="E903" s="8"/>
      <c r="F903" s="9"/>
      <c r="G903" s="8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9"/>
      <c r="E904" s="8"/>
      <c r="F904" s="9"/>
      <c r="G904" s="8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9"/>
      <c r="E905" s="8"/>
      <c r="F905" s="9"/>
      <c r="G905" s="8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9"/>
      <c r="E906" s="8"/>
      <c r="F906" s="9"/>
      <c r="G906" s="8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9"/>
      <c r="E907" s="8"/>
      <c r="F907" s="9"/>
      <c r="G907" s="8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9"/>
      <c r="E908" s="8"/>
      <c r="F908" s="9"/>
      <c r="G908" s="8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9"/>
      <c r="E909" s="8"/>
      <c r="F909" s="9"/>
      <c r="G909" s="8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9"/>
      <c r="E910" s="8"/>
      <c r="F910" s="9"/>
      <c r="G910" s="8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9"/>
      <c r="E911" s="8"/>
      <c r="F911" s="9"/>
      <c r="G911" s="8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9"/>
      <c r="E912" s="8"/>
      <c r="F912" s="9"/>
      <c r="G912" s="8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9"/>
      <c r="E913" s="8"/>
      <c r="F913" s="9"/>
      <c r="G913" s="8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9"/>
      <c r="E914" s="8"/>
      <c r="F914" s="9"/>
      <c r="G914" s="8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9"/>
      <c r="E915" s="8"/>
      <c r="F915" s="9"/>
      <c r="G915" s="8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9"/>
      <c r="E916" s="8"/>
      <c r="F916" s="9"/>
      <c r="G916" s="8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9"/>
      <c r="E917" s="8"/>
      <c r="F917" s="9"/>
      <c r="G917" s="8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9"/>
      <c r="E918" s="8"/>
      <c r="F918" s="9"/>
      <c r="G918" s="8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9"/>
      <c r="E919" s="8"/>
      <c r="F919" s="9"/>
      <c r="G919" s="8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9"/>
      <c r="E920" s="8"/>
      <c r="F920" s="9"/>
      <c r="G920" s="8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9"/>
      <c r="E921" s="8"/>
      <c r="F921" s="9"/>
      <c r="G921" s="8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9"/>
      <c r="E922" s="8"/>
      <c r="F922" s="9"/>
      <c r="G922" s="8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9"/>
      <c r="E923" s="8"/>
      <c r="F923" s="9"/>
      <c r="G923" s="8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9"/>
      <c r="E924" s="8"/>
      <c r="F924" s="9"/>
      <c r="G924" s="8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9"/>
      <c r="E925" s="8"/>
      <c r="F925" s="9"/>
      <c r="G925" s="8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9"/>
      <c r="E926" s="8"/>
      <c r="F926" s="9"/>
      <c r="G926" s="8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9"/>
      <c r="E927" s="8"/>
      <c r="F927" s="9"/>
      <c r="G927" s="8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9"/>
      <c r="E928" s="8"/>
      <c r="F928" s="9"/>
      <c r="G928" s="8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9"/>
      <c r="E929" s="8"/>
      <c r="F929" s="9"/>
      <c r="G929" s="8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9"/>
      <c r="E930" s="8"/>
      <c r="F930" s="9"/>
      <c r="G930" s="8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9"/>
      <c r="E931" s="8"/>
      <c r="F931" s="9"/>
      <c r="G931" s="8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9"/>
      <c r="E932" s="8"/>
      <c r="F932" s="9"/>
      <c r="G932" s="8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9"/>
      <c r="E933" s="8"/>
      <c r="F933" s="9"/>
      <c r="G933" s="8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9"/>
      <c r="E934" s="8"/>
      <c r="F934" s="9"/>
      <c r="G934" s="8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9"/>
      <c r="E935" s="8"/>
      <c r="F935" s="9"/>
      <c r="G935" s="8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9"/>
      <c r="E936" s="8"/>
      <c r="F936" s="9"/>
      <c r="G936" s="8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9"/>
      <c r="E937" s="8"/>
      <c r="F937" s="9"/>
      <c r="G937" s="8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9"/>
      <c r="E938" s="8"/>
      <c r="F938" s="9"/>
      <c r="G938" s="8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9"/>
      <c r="E939" s="8"/>
      <c r="F939" s="9"/>
      <c r="G939" s="8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9"/>
      <c r="E940" s="8"/>
      <c r="F940" s="9"/>
      <c r="G940" s="8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9"/>
      <c r="E941" s="8"/>
      <c r="F941" s="9"/>
      <c r="G941" s="8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9"/>
      <c r="E942" s="8"/>
      <c r="F942" s="9"/>
      <c r="G942" s="8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9"/>
      <c r="E943" s="8"/>
      <c r="F943" s="9"/>
      <c r="G943" s="8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9"/>
      <c r="E944" s="8"/>
      <c r="F944" s="9"/>
      <c r="G944" s="8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9"/>
      <c r="E945" s="8"/>
      <c r="F945" s="9"/>
      <c r="G945" s="8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9"/>
      <c r="E946" s="8"/>
      <c r="F946" s="9"/>
      <c r="G946" s="8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9"/>
      <c r="E947" s="8"/>
      <c r="F947" s="9"/>
      <c r="G947" s="8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9"/>
      <c r="E948" s="8"/>
      <c r="F948" s="9"/>
      <c r="G948" s="8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9"/>
      <c r="E949" s="8"/>
      <c r="F949" s="9"/>
      <c r="G949" s="8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9"/>
      <c r="E950" s="8"/>
      <c r="F950" s="9"/>
      <c r="G950" s="8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9"/>
      <c r="E951" s="8"/>
      <c r="F951" s="9"/>
      <c r="G951" s="8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9"/>
      <c r="E952" s="8"/>
      <c r="F952" s="9"/>
      <c r="G952" s="8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9"/>
      <c r="E953" s="8"/>
      <c r="F953" s="9"/>
      <c r="G953" s="8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9"/>
      <c r="E954" s="8"/>
      <c r="F954" s="9"/>
      <c r="G954" s="8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9"/>
      <c r="E955" s="8"/>
      <c r="F955" s="9"/>
      <c r="G955" s="8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9"/>
      <c r="E956" s="8"/>
      <c r="F956" s="9"/>
      <c r="G956" s="8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9"/>
      <c r="E957" s="8"/>
      <c r="F957" s="9"/>
      <c r="G957" s="8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9"/>
      <c r="E958" s="8"/>
      <c r="F958" s="9"/>
      <c r="G958" s="8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9"/>
      <c r="E959" s="8"/>
      <c r="F959" s="9"/>
      <c r="G959" s="8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9"/>
      <c r="E960" s="8"/>
      <c r="F960" s="9"/>
      <c r="G960" s="8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9"/>
      <c r="E961" s="8"/>
      <c r="F961" s="9"/>
      <c r="G961" s="8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9"/>
      <c r="E962" s="8"/>
      <c r="F962" s="9"/>
      <c r="G962" s="8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9"/>
      <c r="E963" s="8"/>
      <c r="F963" s="9"/>
      <c r="G963" s="8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9"/>
      <c r="E964" s="8"/>
      <c r="F964" s="9"/>
      <c r="G964" s="8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9"/>
      <c r="E965" s="8"/>
      <c r="F965" s="9"/>
      <c r="G965" s="8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9"/>
      <c r="E966" s="8"/>
      <c r="F966" s="9"/>
      <c r="G966" s="8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9"/>
      <c r="E967" s="8"/>
      <c r="F967" s="9"/>
      <c r="G967" s="8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9"/>
      <c r="E968" s="8"/>
      <c r="F968" s="9"/>
      <c r="G968" s="8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9"/>
      <c r="E969" s="8"/>
      <c r="F969" s="9"/>
      <c r="G969" s="8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9"/>
      <c r="E970" s="8"/>
      <c r="F970" s="9"/>
      <c r="G970" s="8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9"/>
      <c r="E971" s="8"/>
      <c r="F971" s="9"/>
      <c r="G971" s="8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9"/>
      <c r="E972" s="8"/>
      <c r="F972" s="9"/>
      <c r="G972" s="8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9"/>
      <c r="E973" s="8"/>
      <c r="F973" s="9"/>
      <c r="G973" s="8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9"/>
      <c r="E974" s="8"/>
      <c r="F974" s="9"/>
      <c r="G974" s="8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9"/>
      <c r="E975" s="8"/>
      <c r="F975" s="9"/>
      <c r="G975" s="8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9"/>
      <c r="E976" s="8"/>
      <c r="F976" s="9"/>
      <c r="G976" s="8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9"/>
      <c r="E977" s="8"/>
      <c r="F977" s="9"/>
      <c r="G977" s="8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9"/>
      <c r="E978" s="8"/>
      <c r="F978" s="9"/>
      <c r="G978" s="8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9"/>
      <c r="E979" s="8"/>
      <c r="F979" s="9"/>
      <c r="G979" s="8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9"/>
      <c r="E980" s="8"/>
      <c r="F980" s="9"/>
      <c r="G980" s="8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9"/>
      <c r="E981" s="8"/>
      <c r="F981" s="9"/>
      <c r="G981" s="8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9"/>
      <c r="E982" s="8"/>
      <c r="F982" s="9"/>
      <c r="G982" s="8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9"/>
      <c r="E983" s="8"/>
      <c r="F983" s="9"/>
      <c r="G983" s="8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9"/>
      <c r="E984" s="8"/>
      <c r="F984" s="9"/>
      <c r="G984" s="8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9"/>
      <c r="E985" s="8"/>
      <c r="F985" s="9"/>
      <c r="G985" s="8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9"/>
      <c r="E986" s="8"/>
      <c r="F986" s="9"/>
      <c r="G986" s="8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9"/>
      <c r="E987" s="8"/>
      <c r="F987" s="9"/>
      <c r="G987" s="8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9"/>
      <c r="E988" s="8"/>
      <c r="F988" s="9"/>
      <c r="G988" s="8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9"/>
      <c r="E989" s="8"/>
      <c r="F989" s="9"/>
      <c r="G989" s="8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9"/>
      <c r="E990" s="8"/>
      <c r="F990" s="9"/>
      <c r="G990" s="8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9"/>
      <c r="E991" s="8"/>
      <c r="F991" s="9"/>
      <c r="G991" s="8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9"/>
      <c r="E992" s="8"/>
      <c r="F992" s="9"/>
      <c r="G992" s="8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9"/>
      <c r="E993" s="8"/>
      <c r="F993" s="9"/>
      <c r="G993" s="8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9"/>
      <c r="E994" s="8"/>
      <c r="F994" s="9"/>
      <c r="G994" s="8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9"/>
      <c r="E995" s="8"/>
      <c r="F995" s="9"/>
      <c r="G995" s="8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9"/>
      <c r="E996" s="8"/>
      <c r="F996" s="9"/>
      <c r="G996" s="8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B997" s="8"/>
      <c r="C997" s="8"/>
      <c r="D997" s="9"/>
      <c r="E997" s="8"/>
      <c r="F997" s="9"/>
      <c r="G997" s="8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" customHeight="1" x14ac:dyDescent="0.25">
      <c r="B998" s="8"/>
    </row>
    <row r="999" spans="1:26" ht="15" customHeight="1" x14ac:dyDescent="0.25">
      <c r="B999" s="8"/>
    </row>
    <row r="1000" spans="1:26" ht="15" customHeight="1" x14ac:dyDescent="0.25">
      <c r="B1000" s="8"/>
    </row>
  </sheetData>
  <mergeCells count="21">
    <mergeCell ref="A1:G1"/>
    <mergeCell ref="A4:A5"/>
    <mergeCell ref="A6:A9"/>
    <mergeCell ref="B6:B7"/>
    <mergeCell ref="B8:B9"/>
    <mergeCell ref="H20:H22"/>
    <mergeCell ref="H23:H24"/>
    <mergeCell ref="A10:A11"/>
    <mergeCell ref="A12:A13"/>
    <mergeCell ref="A14:A15"/>
    <mergeCell ref="B16:B17"/>
    <mergeCell ref="H10:H11"/>
    <mergeCell ref="B12:B13"/>
    <mergeCell ref="B14:B15"/>
    <mergeCell ref="H12:H13"/>
    <mergeCell ref="H14:H15"/>
    <mergeCell ref="H17:H18"/>
    <mergeCell ref="A16:A18"/>
    <mergeCell ref="A19:A22"/>
    <mergeCell ref="B19:B20"/>
    <mergeCell ref="B21:B22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FF"/>
    <pageSetUpPr fitToPage="1"/>
  </sheetPr>
  <dimension ref="A1:Z701"/>
  <sheetViews>
    <sheetView zoomScale="85" zoomScaleNormal="85" workbookViewId="0">
      <selection sqref="A1:M1"/>
    </sheetView>
  </sheetViews>
  <sheetFormatPr baseColWidth="10" defaultColWidth="14.42578125" defaultRowHeight="15" customHeight="1" x14ac:dyDescent="0.25"/>
  <cols>
    <col min="1" max="1" width="19" customWidth="1"/>
    <col min="2" max="2" width="18.28515625" customWidth="1"/>
    <col min="3" max="3" width="25.42578125" customWidth="1"/>
    <col min="4" max="4" width="10.5703125" customWidth="1"/>
    <col min="5" max="5" width="17.5703125" customWidth="1"/>
    <col min="6" max="6" width="10.85546875" customWidth="1"/>
    <col min="7" max="7" width="26.85546875" customWidth="1"/>
    <col min="8" max="8" width="11.140625" customWidth="1"/>
    <col min="9" max="9" width="29.85546875" customWidth="1"/>
    <col min="10" max="10" width="10.42578125" customWidth="1"/>
    <col min="11" max="11" width="45.42578125" customWidth="1"/>
    <col min="12" max="12" width="12.5703125" customWidth="1"/>
    <col min="13" max="13" width="72.42578125" customWidth="1"/>
    <col min="14" max="26" width="11.42578125" customWidth="1"/>
  </cols>
  <sheetData>
    <row r="1" spans="1:26" ht="96" customHeight="1" x14ac:dyDescent="0.25">
      <c r="A1" s="45" t="s">
        <v>451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thickTop="1" x14ac:dyDescent="0.25">
      <c r="A2" s="14"/>
      <c r="B2" s="14"/>
      <c r="C2" s="14"/>
      <c r="D2" s="14"/>
      <c r="E2" s="14"/>
      <c r="F2" s="14"/>
      <c r="G2" s="14"/>
      <c r="H2" s="14"/>
      <c r="I2" s="14"/>
      <c r="J2" s="1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A3" s="10" t="s">
        <v>13</v>
      </c>
      <c r="B3" s="10" t="s">
        <v>14</v>
      </c>
      <c r="C3" s="11" t="s">
        <v>15</v>
      </c>
      <c r="D3" s="16" t="s">
        <v>16</v>
      </c>
      <c r="E3" s="17" t="s">
        <v>17</v>
      </c>
      <c r="F3" s="16" t="s">
        <v>18</v>
      </c>
      <c r="G3" s="17" t="s">
        <v>24</v>
      </c>
      <c r="H3" s="16" t="s">
        <v>25</v>
      </c>
      <c r="I3" s="17" t="s">
        <v>26</v>
      </c>
      <c r="J3" s="18" t="s">
        <v>27</v>
      </c>
      <c r="K3" s="19" t="s">
        <v>28</v>
      </c>
      <c r="L3" s="10" t="s">
        <v>29</v>
      </c>
      <c r="M3" s="10" t="s">
        <v>30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48" customHeight="1" x14ac:dyDescent="0.25">
      <c r="A4" s="36" t="s">
        <v>138</v>
      </c>
      <c r="B4" s="36" t="s">
        <v>130</v>
      </c>
      <c r="C4" s="36" t="s">
        <v>349</v>
      </c>
      <c r="D4" s="39" t="s">
        <v>16</v>
      </c>
      <c r="E4" s="36" t="s">
        <v>8</v>
      </c>
      <c r="F4" s="39" t="s">
        <v>21</v>
      </c>
      <c r="G4" s="36" t="s">
        <v>317</v>
      </c>
      <c r="H4" s="42" t="s">
        <v>31</v>
      </c>
      <c r="I4" s="36" t="s">
        <v>153</v>
      </c>
      <c r="J4" s="36" t="s">
        <v>32</v>
      </c>
      <c r="K4" s="36" t="str">
        <f>D4&amp;" "&amp;E4&amp;" "&amp;F4&amp;" "&amp;G4&amp;" "&amp;H4&amp;" "&amp;I4</f>
        <v>Yo como Administrador necesito gestionar roles del sistema para controlar los niveles de acceso para poder controlar los accesos a los módulos del sistema</v>
      </c>
      <c r="L4" s="29" t="s">
        <v>33</v>
      </c>
      <c r="M4" s="30" t="s">
        <v>154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7" customHeight="1" x14ac:dyDescent="0.25">
      <c r="A5" s="37"/>
      <c r="B5" s="37"/>
      <c r="C5" s="37"/>
      <c r="D5" s="40"/>
      <c r="E5" s="37"/>
      <c r="F5" s="40"/>
      <c r="G5" s="37"/>
      <c r="H5" s="43"/>
      <c r="I5" s="37"/>
      <c r="J5" s="37"/>
      <c r="K5" s="37"/>
      <c r="L5" s="29" t="s">
        <v>34</v>
      </c>
      <c r="M5" s="30" t="s">
        <v>155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25">
      <c r="A6" s="37"/>
      <c r="B6" s="38"/>
      <c r="C6" s="38"/>
      <c r="D6" s="41"/>
      <c r="E6" s="38"/>
      <c r="F6" s="41"/>
      <c r="G6" s="38"/>
      <c r="H6" s="44"/>
      <c r="I6" s="38"/>
      <c r="J6" s="38"/>
      <c r="K6" s="38"/>
      <c r="L6" s="29" t="s">
        <v>35</v>
      </c>
      <c r="M6" s="30" t="s">
        <v>156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 x14ac:dyDescent="0.25">
      <c r="A7" s="37"/>
      <c r="B7" s="36" t="s">
        <v>130</v>
      </c>
      <c r="C7" s="36" t="s">
        <v>131</v>
      </c>
      <c r="D7" s="39" t="s">
        <v>16</v>
      </c>
      <c r="E7" s="36" t="s">
        <v>8</v>
      </c>
      <c r="F7" s="39" t="s">
        <v>21</v>
      </c>
      <c r="G7" s="36" t="s">
        <v>146</v>
      </c>
      <c r="H7" s="42" t="s">
        <v>31</v>
      </c>
      <c r="I7" s="36" t="s">
        <v>157</v>
      </c>
      <c r="J7" s="36" t="s">
        <v>36</v>
      </c>
      <c r="K7" s="36" t="str">
        <f>D7&amp;" "&amp;E7&amp;" "&amp;F7&amp;" "&amp;G7&amp;" "&amp;H7&amp;" "&amp;I7</f>
        <v>Yo como Administrador necesito editar roles para poder actualizar permisos y responsabilidades del sistema</v>
      </c>
      <c r="L7" s="29" t="s">
        <v>37</v>
      </c>
      <c r="M7" s="30" t="s">
        <v>158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25">
      <c r="A8" s="37"/>
      <c r="B8" s="37"/>
      <c r="C8" s="37"/>
      <c r="D8" s="40"/>
      <c r="E8" s="37"/>
      <c r="F8" s="40"/>
      <c r="G8" s="37"/>
      <c r="H8" s="43"/>
      <c r="I8" s="37"/>
      <c r="J8" s="37"/>
      <c r="K8" s="37"/>
      <c r="L8" s="29" t="s">
        <v>38</v>
      </c>
      <c r="M8" s="30" t="s">
        <v>159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25">
      <c r="A9" s="37"/>
      <c r="B9" s="38"/>
      <c r="C9" s="38"/>
      <c r="D9" s="41"/>
      <c r="E9" s="38"/>
      <c r="F9" s="41"/>
      <c r="G9" s="38"/>
      <c r="H9" s="44"/>
      <c r="I9" s="38"/>
      <c r="J9" s="38"/>
      <c r="K9" s="38"/>
      <c r="L9" s="29" t="s">
        <v>39</v>
      </c>
      <c r="M9" s="30" t="s">
        <v>160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25">
      <c r="A10" s="37"/>
      <c r="B10" s="36" t="s">
        <v>130</v>
      </c>
      <c r="C10" s="36" t="s">
        <v>131</v>
      </c>
      <c r="D10" s="39" t="s">
        <v>16</v>
      </c>
      <c r="E10" s="36" t="s">
        <v>8</v>
      </c>
      <c r="F10" s="39" t="s">
        <v>21</v>
      </c>
      <c r="G10" s="36" t="s">
        <v>40</v>
      </c>
      <c r="H10" s="42" t="s">
        <v>31</v>
      </c>
      <c r="I10" s="36" t="s">
        <v>161</v>
      </c>
      <c r="J10" s="36" t="s">
        <v>41</v>
      </c>
      <c r="K10" s="36" t="str">
        <f>D10&amp;" "&amp;E10&amp;" "&amp;F10&amp;" "&amp;G10&amp;" "&amp;H10&amp;" "&amp;I10</f>
        <v>Yo como Administrador necesito listar roles para poder consultar los roles registrados en el sistema</v>
      </c>
      <c r="L10" s="29" t="s">
        <v>42</v>
      </c>
      <c r="M10" s="30" t="s">
        <v>162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25">
      <c r="A11" s="37"/>
      <c r="B11" s="37"/>
      <c r="C11" s="37"/>
      <c r="D11" s="40"/>
      <c r="E11" s="37"/>
      <c r="F11" s="40"/>
      <c r="G11" s="37"/>
      <c r="H11" s="43"/>
      <c r="I11" s="37"/>
      <c r="J11" s="37"/>
      <c r="K11" s="37"/>
      <c r="L11" s="29" t="s">
        <v>43</v>
      </c>
      <c r="M11" s="30" t="s">
        <v>163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5">
      <c r="A12" s="37"/>
      <c r="B12" s="38"/>
      <c r="C12" s="38"/>
      <c r="D12" s="41"/>
      <c r="E12" s="38"/>
      <c r="F12" s="41"/>
      <c r="G12" s="38"/>
      <c r="H12" s="44"/>
      <c r="I12" s="38"/>
      <c r="J12" s="38"/>
      <c r="K12" s="38"/>
      <c r="L12" s="29" t="s">
        <v>44</v>
      </c>
      <c r="M12" s="30" t="s">
        <v>164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5">
      <c r="A13" s="37"/>
      <c r="B13" s="36" t="s">
        <v>130</v>
      </c>
      <c r="C13" s="36" t="s">
        <v>131</v>
      </c>
      <c r="D13" s="39" t="s">
        <v>16</v>
      </c>
      <c r="E13" s="36" t="s">
        <v>8</v>
      </c>
      <c r="F13" s="39" t="s">
        <v>21</v>
      </c>
      <c r="G13" s="36" t="s">
        <v>45</v>
      </c>
      <c r="H13" s="42" t="s">
        <v>31</v>
      </c>
      <c r="I13" s="36" t="s">
        <v>165</v>
      </c>
      <c r="J13" s="36" t="s">
        <v>46</v>
      </c>
      <c r="K13" s="36" t="str">
        <f>D13&amp;" "&amp;E13&amp;" "&amp;F13&amp;" "&amp;G13&amp;" "&amp;H13&amp;" "&amp;I13</f>
        <v>Yo como Administrador necesito cambiar el estado de un rol para poder activar o inactivar roles sin perder trazabilidad</v>
      </c>
      <c r="L13" s="29" t="s">
        <v>47</v>
      </c>
      <c r="M13" s="30" t="s">
        <v>166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25">
      <c r="A14" s="37"/>
      <c r="B14" s="37"/>
      <c r="C14" s="37"/>
      <c r="D14" s="40"/>
      <c r="E14" s="37"/>
      <c r="F14" s="40"/>
      <c r="G14" s="37"/>
      <c r="H14" s="43"/>
      <c r="I14" s="37"/>
      <c r="J14" s="37"/>
      <c r="K14" s="37"/>
      <c r="L14" s="29" t="s">
        <v>48</v>
      </c>
      <c r="M14" s="30" t="s">
        <v>449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25">
      <c r="A15" s="37"/>
      <c r="B15" s="38"/>
      <c r="C15" s="38"/>
      <c r="D15" s="41"/>
      <c r="E15" s="38"/>
      <c r="F15" s="41"/>
      <c r="G15" s="38"/>
      <c r="H15" s="44"/>
      <c r="I15" s="38"/>
      <c r="J15" s="38"/>
      <c r="K15" s="38"/>
      <c r="L15" s="29" t="s">
        <v>49</v>
      </c>
      <c r="M15" s="30" t="s">
        <v>167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25">
      <c r="A16" s="37"/>
      <c r="B16" s="36" t="s">
        <v>139</v>
      </c>
      <c r="C16" s="36" t="s">
        <v>168</v>
      </c>
      <c r="D16" s="39" t="s">
        <v>16</v>
      </c>
      <c r="E16" s="36" t="s">
        <v>8</v>
      </c>
      <c r="F16" s="39" t="s">
        <v>21</v>
      </c>
      <c r="G16" s="36" t="s">
        <v>147</v>
      </c>
      <c r="H16" s="42" t="s">
        <v>31</v>
      </c>
      <c r="I16" s="36" t="s">
        <v>169</v>
      </c>
      <c r="J16" s="36" t="s">
        <v>148</v>
      </c>
      <c r="K16" s="36" t="str">
        <f>D16&amp;" "&amp;E16&amp;" "&amp;F16&amp;" "&amp;G16&amp;" "&amp;H16&amp;" "&amp;I16</f>
        <v>Yo como Administrador necesito crear permisos para poder controlar las acciones disponibles en cada módulo</v>
      </c>
      <c r="L16" s="29" t="s">
        <v>170</v>
      </c>
      <c r="M16" s="30" t="s">
        <v>171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25">
      <c r="A17" s="37"/>
      <c r="B17" s="37"/>
      <c r="C17" s="37"/>
      <c r="D17" s="40"/>
      <c r="E17" s="37"/>
      <c r="F17" s="40"/>
      <c r="G17" s="37"/>
      <c r="H17" s="43"/>
      <c r="I17" s="37"/>
      <c r="J17" s="37"/>
      <c r="K17" s="37"/>
      <c r="L17" s="29" t="s">
        <v>172</v>
      </c>
      <c r="M17" s="30" t="s">
        <v>173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25">
      <c r="A18" s="37"/>
      <c r="B18" s="38"/>
      <c r="C18" s="38"/>
      <c r="D18" s="41"/>
      <c r="E18" s="38"/>
      <c r="F18" s="41"/>
      <c r="G18" s="38"/>
      <c r="H18" s="44"/>
      <c r="I18" s="38"/>
      <c r="J18" s="38"/>
      <c r="K18" s="38"/>
      <c r="L18" s="29" t="s">
        <v>174</v>
      </c>
      <c r="M18" s="30" t="s">
        <v>175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25">
      <c r="A19" s="37"/>
      <c r="B19" s="36" t="s">
        <v>139</v>
      </c>
      <c r="C19" s="36" t="s">
        <v>168</v>
      </c>
      <c r="D19" s="39" t="s">
        <v>16</v>
      </c>
      <c r="E19" s="36" t="s">
        <v>8</v>
      </c>
      <c r="F19" s="39" t="s">
        <v>21</v>
      </c>
      <c r="G19" s="36" t="s">
        <v>176</v>
      </c>
      <c r="H19" s="42" t="s">
        <v>31</v>
      </c>
      <c r="I19" s="36" t="s">
        <v>177</v>
      </c>
      <c r="J19" s="36" t="s">
        <v>149</v>
      </c>
      <c r="K19" s="36" t="str">
        <f>D19&amp;" "&amp;E19&amp;" "&amp;F19&amp;" "&amp;G19&amp;" "&amp;H19&amp;" "&amp;I19</f>
        <v>Yo como Administrador necesito asignar permisos a roles para poder definir el alcance funcional de cada rol</v>
      </c>
      <c r="L19" s="29" t="s">
        <v>178</v>
      </c>
      <c r="M19" s="30" t="s">
        <v>179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25">
      <c r="A20" s="37"/>
      <c r="B20" s="37"/>
      <c r="C20" s="37"/>
      <c r="D20" s="40"/>
      <c r="E20" s="37"/>
      <c r="F20" s="40"/>
      <c r="G20" s="37"/>
      <c r="H20" s="43"/>
      <c r="I20" s="37"/>
      <c r="J20" s="37"/>
      <c r="K20" s="37"/>
      <c r="L20" s="29" t="s">
        <v>180</v>
      </c>
      <c r="M20" s="30" t="s">
        <v>181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25">
      <c r="A21" s="37"/>
      <c r="B21" s="38"/>
      <c r="C21" s="38"/>
      <c r="D21" s="41"/>
      <c r="E21" s="38"/>
      <c r="F21" s="41"/>
      <c r="G21" s="38"/>
      <c r="H21" s="44"/>
      <c r="I21" s="38"/>
      <c r="J21" s="38"/>
      <c r="K21" s="38"/>
      <c r="L21" s="29" t="s">
        <v>182</v>
      </c>
      <c r="M21" s="30" t="s">
        <v>183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5">
      <c r="A22" s="37"/>
      <c r="B22" s="36" t="s">
        <v>139</v>
      </c>
      <c r="C22" s="36" t="s">
        <v>168</v>
      </c>
      <c r="D22" s="39" t="s">
        <v>16</v>
      </c>
      <c r="E22" s="36" t="s">
        <v>8</v>
      </c>
      <c r="F22" s="39" t="s">
        <v>21</v>
      </c>
      <c r="G22" s="36" t="s">
        <v>184</v>
      </c>
      <c r="H22" s="42" t="s">
        <v>31</v>
      </c>
      <c r="I22" s="36" t="s">
        <v>185</v>
      </c>
      <c r="J22" s="36" t="s">
        <v>186</v>
      </c>
      <c r="K22" s="36" t="str">
        <f>D22&amp;" "&amp;E22&amp;" "&amp;F22&amp;" "&amp;G22&amp;" "&amp;H22&amp;" "&amp;I22</f>
        <v>Yo como Administrador necesito listar permisos para poder consultar la configuración de seguridad del sistema</v>
      </c>
      <c r="L22" s="29" t="s">
        <v>187</v>
      </c>
      <c r="M22" s="30" t="s">
        <v>188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25">
      <c r="A23" s="37"/>
      <c r="B23" s="37"/>
      <c r="C23" s="37"/>
      <c r="D23" s="40"/>
      <c r="E23" s="37"/>
      <c r="F23" s="40"/>
      <c r="G23" s="37"/>
      <c r="H23" s="43"/>
      <c r="I23" s="37"/>
      <c r="J23" s="37"/>
      <c r="K23" s="37"/>
      <c r="L23" s="29" t="s">
        <v>189</v>
      </c>
      <c r="M23" s="30" t="s">
        <v>190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7" customHeight="1" x14ac:dyDescent="0.25">
      <c r="A24" s="38"/>
      <c r="B24" s="38"/>
      <c r="C24" s="38"/>
      <c r="D24" s="41"/>
      <c r="E24" s="38"/>
      <c r="F24" s="41"/>
      <c r="G24" s="38"/>
      <c r="H24" s="44"/>
      <c r="I24" s="38"/>
      <c r="J24" s="38"/>
      <c r="K24" s="38"/>
      <c r="L24" s="29" t="s">
        <v>191</v>
      </c>
      <c r="M24" s="30" t="s">
        <v>192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2"/>
      <c r="K25" s="31"/>
      <c r="L25" s="31"/>
      <c r="M25" s="3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25">
      <c r="A26" s="33" t="s">
        <v>22</v>
      </c>
      <c r="B26" s="33" t="s">
        <v>132</v>
      </c>
      <c r="C26" s="36" t="s">
        <v>133</v>
      </c>
      <c r="D26" s="39" t="s">
        <v>16</v>
      </c>
      <c r="E26" s="36" t="s">
        <v>8</v>
      </c>
      <c r="F26" s="39" t="s">
        <v>21</v>
      </c>
      <c r="G26" s="36" t="s">
        <v>50</v>
      </c>
      <c r="H26" s="42" t="s">
        <v>31</v>
      </c>
      <c r="I26" s="36" t="s">
        <v>193</v>
      </c>
      <c r="J26" s="36" t="s">
        <v>51</v>
      </c>
      <c r="K26" s="36" t="str">
        <f>D26&amp;" "&amp;E26&amp;" "&amp;F26&amp;" "&amp;G26&amp;" "&amp;H26&amp;" "&amp;I26</f>
        <v>Yo como Administrador necesito crear usuarios para poder dar acceso controlado a la plataforma</v>
      </c>
      <c r="L26" s="29" t="s">
        <v>52</v>
      </c>
      <c r="M26" s="30" t="s">
        <v>194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25">
      <c r="A27" s="34"/>
      <c r="B27" s="34"/>
      <c r="C27" s="37"/>
      <c r="D27" s="40"/>
      <c r="E27" s="37"/>
      <c r="F27" s="40"/>
      <c r="G27" s="37"/>
      <c r="H27" s="43"/>
      <c r="I27" s="37"/>
      <c r="J27" s="37"/>
      <c r="K27" s="37"/>
      <c r="L27" s="29" t="s">
        <v>53</v>
      </c>
      <c r="M27" s="30" t="s">
        <v>195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25">
      <c r="A28" s="34"/>
      <c r="B28" s="35"/>
      <c r="C28" s="38"/>
      <c r="D28" s="41"/>
      <c r="E28" s="38"/>
      <c r="F28" s="41"/>
      <c r="G28" s="38"/>
      <c r="H28" s="44"/>
      <c r="I28" s="38"/>
      <c r="J28" s="38"/>
      <c r="K28" s="38"/>
      <c r="L28" s="29" t="s">
        <v>54</v>
      </c>
      <c r="M28" s="30" t="s">
        <v>196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25">
      <c r="A29" s="34"/>
      <c r="B29" s="33" t="s">
        <v>132</v>
      </c>
      <c r="C29" s="36" t="s">
        <v>133</v>
      </c>
      <c r="D29" s="39" t="s">
        <v>16</v>
      </c>
      <c r="E29" s="36" t="s">
        <v>8</v>
      </c>
      <c r="F29" s="39" t="s">
        <v>21</v>
      </c>
      <c r="G29" s="36" t="s">
        <v>197</v>
      </c>
      <c r="H29" s="42" t="s">
        <v>31</v>
      </c>
      <c r="I29" s="36" t="s">
        <v>198</v>
      </c>
      <c r="J29" s="36" t="s">
        <v>55</v>
      </c>
      <c r="K29" s="36" t="str">
        <f>D29&amp;" "&amp;E29&amp;" "&amp;F29&amp;" "&amp;G29&amp;" "&amp;H29&amp;" "&amp;I29</f>
        <v>Yo como Administrador necesito editar usuarios para poder mantener actualizada la información de los usuarios</v>
      </c>
      <c r="L29" s="29" t="s">
        <v>56</v>
      </c>
      <c r="M29" s="30" t="s">
        <v>199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25">
      <c r="A30" s="34"/>
      <c r="B30" s="34"/>
      <c r="C30" s="37"/>
      <c r="D30" s="40"/>
      <c r="E30" s="37"/>
      <c r="F30" s="40"/>
      <c r="G30" s="37"/>
      <c r="H30" s="43"/>
      <c r="I30" s="37"/>
      <c r="J30" s="37"/>
      <c r="K30" s="37"/>
      <c r="L30" s="29" t="s">
        <v>57</v>
      </c>
      <c r="M30" s="30" t="s">
        <v>200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25">
      <c r="A31" s="34"/>
      <c r="B31" s="35"/>
      <c r="C31" s="38"/>
      <c r="D31" s="41"/>
      <c r="E31" s="38"/>
      <c r="F31" s="41"/>
      <c r="G31" s="38"/>
      <c r="H31" s="44"/>
      <c r="I31" s="38"/>
      <c r="J31" s="38"/>
      <c r="K31" s="38"/>
      <c r="L31" s="29" t="s">
        <v>58</v>
      </c>
      <c r="M31" s="30" t="s">
        <v>201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25">
      <c r="A32" s="34"/>
      <c r="B32" s="33" t="s">
        <v>132</v>
      </c>
      <c r="C32" s="36" t="s">
        <v>144</v>
      </c>
      <c r="D32" s="39" t="s">
        <v>16</v>
      </c>
      <c r="E32" s="36" t="s">
        <v>23</v>
      </c>
      <c r="F32" s="39" t="s">
        <v>21</v>
      </c>
      <c r="G32" s="36" t="s">
        <v>202</v>
      </c>
      <c r="H32" s="42" t="s">
        <v>31</v>
      </c>
      <c r="I32" s="36" t="s">
        <v>203</v>
      </c>
      <c r="J32" s="36" t="s">
        <v>59</v>
      </c>
      <c r="K32" s="36" t="str">
        <f>D32&amp;" "&amp;E32&amp;" "&amp;F32&amp;" "&amp;G32&amp;" "&amp;H32&amp;" "&amp;I32</f>
        <v>Yo como Cliente necesito actualizar mis datos para poder mantener vigente mi información personal</v>
      </c>
      <c r="L32" s="29" t="s">
        <v>60</v>
      </c>
      <c r="M32" s="30" t="s">
        <v>204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25">
      <c r="A33" s="34"/>
      <c r="B33" s="34"/>
      <c r="C33" s="37"/>
      <c r="D33" s="40"/>
      <c r="E33" s="37"/>
      <c r="F33" s="40"/>
      <c r="G33" s="37"/>
      <c r="H33" s="43"/>
      <c r="I33" s="37"/>
      <c r="J33" s="37"/>
      <c r="K33" s="37"/>
      <c r="L33" s="29" t="s">
        <v>61</v>
      </c>
      <c r="M33" s="30" t="s">
        <v>205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25">
      <c r="A34" s="34"/>
      <c r="B34" s="35"/>
      <c r="C34" s="38"/>
      <c r="D34" s="41"/>
      <c r="E34" s="38"/>
      <c r="F34" s="41"/>
      <c r="G34" s="38"/>
      <c r="H34" s="44"/>
      <c r="I34" s="38"/>
      <c r="J34" s="38"/>
      <c r="K34" s="38"/>
      <c r="L34" s="29" t="s">
        <v>62</v>
      </c>
      <c r="M34" s="30" t="s">
        <v>206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25">
      <c r="A35" s="34"/>
      <c r="B35" s="33" t="s">
        <v>132</v>
      </c>
      <c r="C35" s="36" t="s">
        <v>133</v>
      </c>
      <c r="D35" s="39" t="s">
        <v>16</v>
      </c>
      <c r="E35" s="36" t="s">
        <v>8</v>
      </c>
      <c r="F35" s="39" t="s">
        <v>21</v>
      </c>
      <c r="G35" s="36" t="s">
        <v>207</v>
      </c>
      <c r="H35" s="42" t="s">
        <v>31</v>
      </c>
      <c r="I35" s="36" t="s">
        <v>208</v>
      </c>
      <c r="J35" s="36" t="s">
        <v>63</v>
      </c>
      <c r="K35" s="36" t="str">
        <f>D35&amp;" "&amp;E35&amp;" "&amp;F35&amp;" "&amp;G35&amp;" "&amp;H35&amp;" "&amp;I35</f>
        <v>Yo como Administrador necesito cambiar el estado de un usuario para poder activar o inactivar cuentas sin eliminarlas</v>
      </c>
      <c r="L35" s="29" t="s">
        <v>64</v>
      </c>
      <c r="M35" s="30" t="s">
        <v>209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25">
      <c r="A36" s="34"/>
      <c r="B36" s="34"/>
      <c r="C36" s="37"/>
      <c r="D36" s="40"/>
      <c r="E36" s="37"/>
      <c r="F36" s="40"/>
      <c r="G36" s="37"/>
      <c r="H36" s="43"/>
      <c r="I36" s="37"/>
      <c r="J36" s="37"/>
      <c r="K36" s="37"/>
      <c r="L36" s="29" t="s">
        <v>65</v>
      </c>
      <c r="M36" s="30" t="s">
        <v>210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25">
      <c r="A37" s="34"/>
      <c r="B37" s="35"/>
      <c r="C37" s="38"/>
      <c r="D37" s="41"/>
      <c r="E37" s="38"/>
      <c r="F37" s="41"/>
      <c r="G37" s="38"/>
      <c r="H37" s="44"/>
      <c r="I37" s="38"/>
      <c r="J37" s="38"/>
      <c r="K37" s="38"/>
      <c r="L37" s="29" t="s">
        <v>66</v>
      </c>
      <c r="M37" s="30" t="s">
        <v>211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25">
      <c r="A38" s="34"/>
      <c r="B38" s="33" t="s">
        <v>134</v>
      </c>
      <c r="C38" s="36" t="s">
        <v>135</v>
      </c>
      <c r="D38" s="39" t="s">
        <v>16</v>
      </c>
      <c r="E38" s="36" t="s">
        <v>8</v>
      </c>
      <c r="F38" s="39" t="s">
        <v>21</v>
      </c>
      <c r="G38" s="36" t="s">
        <v>67</v>
      </c>
      <c r="H38" s="42" t="s">
        <v>31</v>
      </c>
      <c r="I38" s="36" t="s">
        <v>212</v>
      </c>
      <c r="J38" s="36" t="s">
        <v>68</v>
      </c>
      <c r="K38" s="36" t="str">
        <f>D38&amp;" "&amp;E38&amp;" "&amp;F38&amp;" "&amp;G38&amp;" "&amp;H38&amp;" "&amp;I38</f>
        <v>Yo como Administrador necesito iniciar sesión para poder acceder a la administración del sistema</v>
      </c>
      <c r="L38" s="29" t="s">
        <v>69</v>
      </c>
      <c r="M38" s="30" t="s">
        <v>450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25">
      <c r="A39" s="34"/>
      <c r="B39" s="34"/>
      <c r="C39" s="37"/>
      <c r="D39" s="40"/>
      <c r="E39" s="37"/>
      <c r="F39" s="40"/>
      <c r="G39" s="37"/>
      <c r="H39" s="43"/>
      <c r="I39" s="37"/>
      <c r="J39" s="37"/>
      <c r="K39" s="37"/>
      <c r="L39" s="29" t="s">
        <v>70</v>
      </c>
      <c r="M39" s="30" t="s">
        <v>213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25">
      <c r="A40" s="34"/>
      <c r="B40" s="35"/>
      <c r="C40" s="38"/>
      <c r="D40" s="41"/>
      <c r="E40" s="38"/>
      <c r="F40" s="41"/>
      <c r="G40" s="38"/>
      <c r="H40" s="44"/>
      <c r="I40" s="38"/>
      <c r="J40" s="38"/>
      <c r="K40" s="38"/>
      <c r="L40" s="29" t="s">
        <v>71</v>
      </c>
      <c r="M40" s="30" t="s">
        <v>214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25">
      <c r="A41" s="34"/>
      <c r="B41" s="33" t="s">
        <v>134</v>
      </c>
      <c r="C41" s="36" t="s">
        <v>136</v>
      </c>
      <c r="D41" s="39" t="s">
        <v>16</v>
      </c>
      <c r="E41" s="36" t="s">
        <v>23</v>
      </c>
      <c r="F41" s="39" t="s">
        <v>21</v>
      </c>
      <c r="G41" s="36" t="s">
        <v>77</v>
      </c>
      <c r="H41" s="42" t="s">
        <v>31</v>
      </c>
      <c r="I41" s="36" t="s">
        <v>215</v>
      </c>
      <c r="J41" s="36" t="s">
        <v>73</v>
      </c>
      <c r="K41" s="36" t="str">
        <f>D41&amp;" "&amp;E41&amp;" "&amp;F41&amp;" "&amp;G41&amp;" "&amp;H41&amp;" "&amp;I41</f>
        <v>Yo como Cliente necesito recuperar contraseña para poder restablecer mi acceso cuando lo olvide</v>
      </c>
      <c r="L41" s="29" t="s">
        <v>74</v>
      </c>
      <c r="M41" s="30" t="s">
        <v>216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25">
      <c r="A42" s="34"/>
      <c r="B42" s="34"/>
      <c r="C42" s="37"/>
      <c r="D42" s="40"/>
      <c r="E42" s="37"/>
      <c r="F42" s="40"/>
      <c r="G42" s="37"/>
      <c r="H42" s="43"/>
      <c r="I42" s="37"/>
      <c r="J42" s="37"/>
      <c r="K42" s="37"/>
      <c r="L42" s="29" t="s">
        <v>75</v>
      </c>
      <c r="M42" s="30" t="s">
        <v>217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25">
      <c r="A43" s="34"/>
      <c r="B43" s="35"/>
      <c r="C43" s="38"/>
      <c r="D43" s="41"/>
      <c r="E43" s="38"/>
      <c r="F43" s="41"/>
      <c r="G43" s="38"/>
      <c r="H43" s="44"/>
      <c r="I43" s="38"/>
      <c r="J43" s="38"/>
      <c r="K43" s="38"/>
      <c r="L43" s="29" t="s">
        <v>76</v>
      </c>
      <c r="M43" s="30" t="s">
        <v>218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25">
      <c r="A44" s="34"/>
      <c r="B44" s="33" t="s">
        <v>134</v>
      </c>
      <c r="C44" s="36" t="s">
        <v>136</v>
      </c>
      <c r="D44" s="39" t="s">
        <v>16</v>
      </c>
      <c r="E44" s="36" t="s">
        <v>23</v>
      </c>
      <c r="F44" s="39" t="s">
        <v>21</v>
      </c>
      <c r="G44" s="36" t="s">
        <v>72</v>
      </c>
      <c r="H44" s="42" t="s">
        <v>31</v>
      </c>
      <c r="I44" s="36" t="s">
        <v>219</v>
      </c>
      <c r="J44" s="36" t="s">
        <v>78</v>
      </c>
      <c r="K44" s="36" t="str">
        <f>D44&amp;" "&amp;E44&amp;" "&amp;F44&amp;" "&amp;G44&amp;" "&amp;H44&amp;" "&amp;I44</f>
        <v>Yo como Cliente necesito cerrar sesión para poder proteger mi cuenta de accesos no autorizados</v>
      </c>
      <c r="L44" s="29" t="s">
        <v>79</v>
      </c>
      <c r="M44" s="30" t="s">
        <v>220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25">
      <c r="A45" s="34"/>
      <c r="B45" s="34"/>
      <c r="C45" s="37"/>
      <c r="D45" s="40"/>
      <c r="E45" s="37"/>
      <c r="F45" s="40"/>
      <c r="G45" s="37"/>
      <c r="H45" s="43"/>
      <c r="I45" s="37"/>
      <c r="J45" s="37"/>
      <c r="K45" s="37"/>
      <c r="L45" s="29" t="s">
        <v>80</v>
      </c>
      <c r="M45" s="30" t="s">
        <v>221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25">
      <c r="A46" s="35"/>
      <c r="B46" s="35"/>
      <c r="C46" s="38"/>
      <c r="D46" s="41"/>
      <c r="E46" s="38"/>
      <c r="F46" s="41"/>
      <c r="G46" s="38"/>
      <c r="H46" s="44"/>
      <c r="I46" s="38"/>
      <c r="J46" s="38"/>
      <c r="K46" s="38"/>
      <c r="L46" s="29" t="s">
        <v>81</v>
      </c>
      <c r="M46" s="30" t="s">
        <v>222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2"/>
      <c r="K47" s="31"/>
      <c r="L47" s="31"/>
      <c r="M47" s="31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25">
      <c r="A48" s="33" t="s">
        <v>390</v>
      </c>
      <c r="B48" s="33" t="s">
        <v>391</v>
      </c>
      <c r="C48" s="36" t="s">
        <v>392</v>
      </c>
      <c r="D48" s="39" t="s">
        <v>16</v>
      </c>
      <c r="E48" s="36" t="s">
        <v>8</v>
      </c>
      <c r="F48" s="39" t="s">
        <v>21</v>
      </c>
      <c r="G48" s="36" t="s">
        <v>393</v>
      </c>
      <c r="H48" s="42" t="s">
        <v>31</v>
      </c>
      <c r="I48" s="36" t="s">
        <v>394</v>
      </c>
      <c r="J48" s="36" t="s">
        <v>82</v>
      </c>
      <c r="K48" s="36" t="str">
        <f>D48&amp;" "&amp;E48&amp;" "&amp;F48&amp;" "&amp;G48&amp;" "&amp;H48&amp;" "&amp;I48</f>
        <v>Yo como Administrador necesito  registrar vehículos  para poder llevar control organizado de los vehículos</v>
      </c>
      <c r="L48" s="29" t="s">
        <v>83</v>
      </c>
      <c r="M48" s="30" t="s">
        <v>402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25">
      <c r="A49" s="34"/>
      <c r="B49" s="34"/>
      <c r="C49" s="37"/>
      <c r="D49" s="40"/>
      <c r="E49" s="37"/>
      <c r="F49" s="40"/>
      <c r="G49" s="37"/>
      <c r="H49" s="43"/>
      <c r="I49" s="37"/>
      <c r="J49" s="37"/>
      <c r="K49" s="37"/>
      <c r="L49" s="29" t="s">
        <v>84</v>
      </c>
      <c r="M49" s="30" t="s">
        <v>403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25">
      <c r="A50" s="34"/>
      <c r="B50" s="35"/>
      <c r="C50" s="38"/>
      <c r="D50" s="41"/>
      <c r="E50" s="38"/>
      <c r="F50" s="41"/>
      <c r="G50" s="38"/>
      <c r="H50" s="44"/>
      <c r="I50" s="38"/>
      <c r="J50" s="38"/>
      <c r="K50" s="38"/>
      <c r="L50" s="29" t="s">
        <v>85</v>
      </c>
      <c r="M50" s="30" t="s">
        <v>404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25">
      <c r="A51" s="34"/>
      <c r="B51" s="33" t="s">
        <v>391</v>
      </c>
      <c r="C51" s="36" t="s">
        <v>395</v>
      </c>
      <c r="D51" s="39" t="s">
        <v>16</v>
      </c>
      <c r="E51" s="36" t="s">
        <v>306</v>
      </c>
      <c r="F51" s="39" t="s">
        <v>21</v>
      </c>
      <c r="G51" s="36" t="s">
        <v>396</v>
      </c>
      <c r="H51" s="42" t="s">
        <v>31</v>
      </c>
      <c r="I51" s="36" t="s">
        <v>397</v>
      </c>
      <c r="J51" s="36" t="s">
        <v>86</v>
      </c>
      <c r="K51" s="36" t="str">
        <f>D51&amp;" "&amp;E51&amp;" "&amp;F51&amp;" "&amp;G51&amp;" "&amp;H51&amp;" "&amp;I51</f>
        <v>Yo como Mecánico necesito consultar vehículos  para poder revisar la información del vehículo antes del servicio</v>
      </c>
      <c r="L51" s="29" t="s">
        <v>87</v>
      </c>
      <c r="M51" s="30" t="s">
        <v>405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25">
      <c r="A52" s="34"/>
      <c r="B52" s="34"/>
      <c r="C52" s="37"/>
      <c r="D52" s="40"/>
      <c r="E52" s="37"/>
      <c r="F52" s="40"/>
      <c r="G52" s="37"/>
      <c r="H52" s="43"/>
      <c r="I52" s="37"/>
      <c r="J52" s="37"/>
      <c r="K52" s="37"/>
      <c r="L52" s="29" t="s">
        <v>88</v>
      </c>
      <c r="M52" s="30" t="s">
        <v>406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25">
      <c r="A53" s="34"/>
      <c r="B53" s="35"/>
      <c r="C53" s="38"/>
      <c r="D53" s="41"/>
      <c r="E53" s="38"/>
      <c r="F53" s="41"/>
      <c r="G53" s="38"/>
      <c r="H53" s="44"/>
      <c r="I53" s="38"/>
      <c r="J53" s="38"/>
      <c r="K53" s="38"/>
      <c r="L53" s="29" t="s">
        <v>89</v>
      </c>
      <c r="M53" s="30" t="s">
        <v>407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25">
      <c r="A54" s="34"/>
      <c r="B54" s="33" t="s">
        <v>391</v>
      </c>
      <c r="C54" s="36" t="s">
        <v>398</v>
      </c>
      <c r="D54" s="39" t="s">
        <v>16</v>
      </c>
      <c r="E54" s="36" t="s">
        <v>8</v>
      </c>
      <c r="F54" s="39" t="s">
        <v>21</v>
      </c>
      <c r="G54" s="36" t="s">
        <v>399</v>
      </c>
      <c r="H54" s="42" t="s">
        <v>31</v>
      </c>
      <c r="I54" s="36" t="s">
        <v>400</v>
      </c>
      <c r="J54" s="36" t="s">
        <v>90</v>
      </c>
      <c r="K54" s="36" t="str">
        <f>D54&amp;" "&amp;E54&amp;" "&amp;F54&amp;" "&amp;G54&amp;" "&amp;H54&amp;" "&amp;I54</f>
        <v xml:space="preserve">Yo como Administrador necesito editar vehículos para poder mantener actualizada la información del vehículo </v>
      </c>
      <c r="L54" s="29" t="s">
        <v>91</v>
      </c>
      <c r="M54" s="30" t="s">
        <v>408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25">
      <c r="A55" s="34"/>
      <c r="B55" s="34"/>
      <c r="C55" s="37"/>
      <c r="D55" s="40"/>
      <c r="E55" s="37"/>
      <c r="F55" s="40"/>
      <c r="G55" s="37"/>
      <c r="H55" s="43"/>
      <c r="I55" s="37"/>
      <c r="J55" s="37"/>
      <c r="K55" s="37"/>
      <c r="L55" s="29" t="s">
        <v>92</v>
      </c>
      <c r="M55" s="30" t="s">
        <v>409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25">
      <c r="A56" s="34"/>
      <c r="B56" s="35"/>
      <c r="C56" s="38"/>
      <c r="D56" s="41"/>
      <c r="E56" s="38"/>
      <c r="F56" s="41"/>
      <c r="G56" s="38"/>
      <c r="H56" s="44"/>
      <c r="I56" s="38"/>
      <c r="J56" s="38"/>
      <c r="K56" s="38"/>
      <c r="L56" s="29" t="s">
        <v>93</v>
      </c>
      <c r="M56" s="30" t="s">
        <v>223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25">
      <c r="A57" s="34"/>
      <c r="B57" s="33" t="s">
        <v>391</v>
      </c>
      <c r="C57" s="36" t="s">
        <v>401</v>
      </c>
      <c r="D57" s="39" t="s">
        <v>16</v>
      </c>
      <c r="E57" s="36" t="s">
        <v>8</v>
      </c>
      <c r="F57" s="39" t="s">
        <v>21</v>
      </c>
      <c r="G57" s="36" t="s">
        <v>224</v>
      </c>
      <c r="H57" s="42" t="s">
        <v>31</v>
      </c>
      <c r="I57" s="36" t="s">
        <v>225</v>
      </c>
      <c r="J57" s="36" t="s">
        <v>94</v>
      </c>
      <c r="K57" s="36" t="str">
        <f>D57&amp;" "&amp;E57&amp;" "&amp;F57&amp;" "&amp;G57&amp;" "&amp;H57&amp;" "&amp;I57</f>
        <v>Yo como Administrador necesito cambiar el estado de la mascota para poder conservar trazabilidad sin eliminar registros</v>
      </c>
      <c r="L57" s="29" t="s">
        <v>95</v>
      </c>
      <c r="M57" s="30" t="s">
        <v>410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25">
      <c r="A58" s="34"/>
      <c r="B58" s="34"/>
      <c r="C58" s="37"/>
      <c r="D58" s="40"/>
      <c r="E58" s="37"/>
      <c r="F58" s="40"/>
      <c r="G58" s="37"/>
      <c r="H58" s="43"/>
      <c r="I58" s="37"/>
      <c r="J58" s="37"/>
      <c r="K58" s="37"/>
      <c r="L58" s="29" t="s">
        <v>96</v>
      </c>
      <c r="M58" s="30" t="s">
        <v>411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25">
      <c r="A59" s="35"/>
      <c r="B59" s="35"/>
      <c r="C59" s="38"/>
      <c r="D59" s="41"/>
      <c r="E59" s="38"/>
      <c r="F59" s="41"/>
      <c r="G59" s="38"/>
      <c r="H59" s="44"/>
      <c r="I59" s="38"/>
      <c r="J59" s="38"/>
      <c r="K59" s="38"/>
      <c r="L59" s="29" t="s">
        <v>97</v>
      </c>
      <c r="M59" s="30" t="s">
        <v>226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2"/>
      <c r="K60" s="31"/>
      <c r="L60" s="31"/>
      <c r="M60" s="31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25">
      <c r="A61" s="33" t="s">
        <v>350</v>
      </c>
      <c r="B61" s="33" t="s">
        <v>379</v>
      </c>
      <c r="C61" s="36" t="s">
        <v>381</v>
      </c>
      <c r="D61" s="39" t="s">
        <v>16</v>
      </c>
      <c r="E61" s="36" t="s">
        <v>306</v>
      </c>
      <c r="F61" s="39" t="s">
        <v>21</v>
      </c>
      <c r="G61" s="36" t="s">
        <v>382</v>
      </c>
      <c r="H61" s="42" t="s">
        <v>31</v>
      </c>
      <c r="I61" s="36" t="s">
        <v>383</v>
      </c>
      <c r="J61" s="36" t="s">
        <v>98</v>
      </c>
      <c r="K61" s="36" t="str">
        <f>D61&amp;" "&amp;E61&amp;" "&amp;F61&amp;" "&amp;G61&amp;" "&amp;H61&amp;" "&amp;I61</f>
        <v>Yo como Mecánico necesito  registrar órdenes de servicio para poder documentar diagnósticos, reparaciones y mantenimientos realizados</v>
      </c>
      <c r="L61" s="29" t="s">
        <v>99</v>
      </c>
      <c r="M61" s="30" t="s">
        <v>412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25">
      <c r="A62" s="34"/>
      <c r="B62" s="34"/>
      <c r="C62" s="37"/>
      <c r="D62" s="40"/>
      <c r="E62" s="37"/>
      <c r="F62" s="40"/>
      <c r="G62" s="37"/>
      <c r="H62" s="43"/>
      <c r="I62" s="37"/>
      <c r="J62" s="37"/>
      <c r="K62" s="37"/>
      <c r="L62" s="29" t="s">
        <v>100</v>
      </c>
      <c r="M62" s="30" t="s">
        <v>413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25">
      <c r="A63" s="34"/>
      <c r="B63" s="35"/>
      <c r="C63" s="38"/>
      <c r="D63" s="41"/>
      <c r="E63" s="38"/>
      <c r="F63" s="41"/>
      <c r="G63" s="38"/>
      <c r="H63" s="44"/>
      <c r="I63" s="38"/>
      <c r="J63" s="38"/>
      <c r="K63" s="38"/>
      <c r="L63" s="29" t="s">
        <v>101</v>
      </c>
      <c r="M63" s="30" t="s">
        <v>414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25">
      <c r="A64" s="34"/>
      <c r="B64" s="33" t="s">
        <v>380</v>
      </c>
      <c r="C64" s="36" t="s">
        <v>384</v>
      </c>
      <c r="D64" s="39" t="s">
        <v>16</v>
      </c>
      <c r="E64" s="36" t="s">
        <v>23</v>
      </c>
      <c r="F64" s="39" t="s">
        <v>21</v>
      </c>
      <c r="G64" s="36" t="s">
        <v>385</v>
      </c>
      <c r="H64" s="42" t="s">
        <v>31</v>
      </c>
      <c r="I64" s="36" t="s">
        <v>386</v>
      </c>
      <c r="J64" s="36" t="s">
        <v>102</v>
      </c>
      <c r="K64" s="36" t="str">
        <f>D64&amp;" "&amp;E64&amp;" "&amp;F64&amp;" "&amp;G64&amp;" "&amp;H64&amp;" "&amp;I64</f>
        <v>Yo como Cliente necesito consultar historial de servicios para poder hacer seguimiento a los mantenimientos de mi vehículo</v>
      </c>
      <c r="L64" s="29" t="s">
        <v>103</v>
      </c>
      <c r="M64" s="30" t="s">
        <v>415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25">
      <c r="A65" s="34"/>
      <c r="B65" s="34"/>
      <c r="C65" s="37"/>
      <c r="D65" s="40"/>
      <c r="E65" s="37"/>
      <c r="F65" s="40"/>
      <c r="G65" s="37"/>
      <c r="H65" s="43"/>
      <c r="I65" s="37"/>
      <c r="J65" s="37"/>
      <c r="K65" s="37"/>
      <c r="L65" s="29" t="s">
        <v>104</v>
      </c>
      <c r="M65" s="30" t="s">
        <v>416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25">
      <c r="A66" s="34"/>
      <c r="B66" s="35"/>
      <c r="C66" s="38"/>
      <c r="D66" s="41"/>
      <c r="E66" s="38"/>
      <c r="F66" s="41"/>
      <c r="G66" s="38"/>
      <c r="H66" s="44"/>
      <c r="I66" s="38"/>
      <c r="J66" s="38"/>
      <c r="K66" s="38"/>
      <c r="L66" s="29" t="s">
        <v>105</v>
      </c>
      <c r="M66" s="30" t="s">
        <v>227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A67" s="34"/>
      <c r="B67" s="33" t="s">
        <v>379</v>
      </c>
      <c r="C67" s="36" t="s">
        <v>387</v>
      </c>
      <c r="D67" s="39" t="s">
        <v>16</v>
      </c>
      <c r="E67" s="36" t="s">
        <v>306</v>
      </c>
      <c r="F67" s="39" t="s">
        <v>21</v>
      </c>
      <c r="G67" s="36" t="s">
        <v>388</v>
      </c>
      <c r="H67" s="42" t="s">
        <v>31</v>
      </c>
      <c r="I67" s="36" t="s">
        <v>389</v>
      </c>
      <c r="J67" s="36" t="s">
        <v>106</v>
      </c>
      <c r="K67" s="36" t="str">
        <f>D67&amp;" "&amp;E67&amp;" "&amp;F67&amp;" "&amp;G67&amp;" "&amp;H67&amp;" "&amp;I67</f>
        <v>Yo como Mecánico necesito actualizar estado del servicio para poder registrar el avance o finalización del trabajo</v>
      </c>
      <c r="L67" s="29" t="s">
        <v>107</v>
      </c>
      <c r="M67" s="30" t="s">
        <v>417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A68" s="34"/>
      <c r="B68" s="34"/>
      <c r="C68" s="37"/>
      <c r="D68" s="40"/>
      <c r="E68" s="37"/>
      <c r="F68" s="40"/>
      <c r="G68" s="37"/>
      <c r="H68" s="43"/>
      <c r="I68" s="37"/>
      <c r="J68" s="37"/>
      <c r="K68" s="37"/>
      <c r="L68" s="29" t="s">
        <v>108</v>
      </c>
      <c r="M68" s="30" t="s">
        <v>418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A69" s="35"/>
      <c r="B69" s="35"/>
      <c r="C69" s="38"/>
      <c r="D69" s="41"/>
      <c r="E69" s="38"/>
      <c r="F69" s="41"/>
      <c r="G69" s="38"/>
      <c r="H69" s="44"/>
      <c r="I69" s="38"/>
      <c r="J69" s="38"/>
      <c r="K69" s="38"/>
      <c r="L69" s="29" t="s">
        <v>109</v>
      </c>
      <c r="M69" s="30" t="s">
        <v>419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2"/>
      <c r="K70" s="31"/>
      <c r="L70" s="31"/>
      <c r="M70" s="31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A71" s="33" t="s">
        <v>351</v>
      </c>
      <c r="B71" s="33" t="s">
        <v>366</v>
      </c>
      <c r="C71" s="36" t="s">
        <v>367</v>
      </c>
      <c r="D71" s="39" t="s">
        <v>16</v>
      </c>
      <c r="E71" s="36" t="s">
        <v>23</v>
      </c>
      <c r="F71" s="39" t="s">
        <v>21</v>
      </c>
      <c r="G71" s="36" t="s">
        <v>368</v>
      </c>
      <c r="H71" s="42" t="s">
        <v>31</v>
      </c>
      <c r="I71" s="36" t="s">
        <v>369</v>
      </c>
      <c r="J71" s="36" t="s">
        <v>110</v>
      </c>
      <c r="K71" s="36" t="str">
        <f>D71&amp;" "&amp;E71&amp;" "&amp;F71&amp;" "&amp;G71&amp;" "&amp;H71&amp;" "&amp;I71</f>
        <v>Yo como Cliente necesito  registrar una solicitud para poder solicitar revisión o diagnóstico de mi vehículo</v>
      </c>
      <c r="L71" s="29" t="s">
        <v>111</v>
      </c>
      <c r="M71" s="30" t="s">
        <v>420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25">
      <c r="A72" s="34"/>
      <c r="B72" s="34"/>
      <c r="C72" s="37"/>
      <c r="D72" s="40"/>
      <c r="E72" s="37"/>
      <c r="F72" s="40"/>
      <c r="G72" s="37"/>
      <c r="H72" s="43"/>
      <c r="I72" s="37"/>
      <c r="J72" s="37"/>
      <c r="K72" s="37"/>
      <c r="L72" s="29" t="s">
        <v>112</v>
      </c>
      <c r="M72" s="30" t="s">
        <v>421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25">
      <c r="A73" s="34"/>
      <c r="B73" s="35"/>
      <c r="C73" s="38"/>
      <c r="D73" s="41"/>
      <c r="E73" s="38"/>
      <c r="F73" s="41"/>
      <c r="G73" s="38"/>
      <c r="H73" s="44"/>
      <c r="I73" s="38"/>
      <c r="J73" s="38"/>
      <c r="K73" s="38"/>
      <c r="L73" s="29" t="s">
        <v>113</v>
      </c>
      <c r="M73" s="30" t="s">
        <v>422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25">
      <c r="A74" s="34"/>
      <c r="B74" s="33" t="s">
        <v>366</v>
      </c>
      <c r="C74" s="36" t="s">
        <v>370</v>
      </c>
      <c r="D74" s="39" t="s">
        <v>16</v>
      </c>
      <c r="E74" s="36" t="s">
        <v>306</v>
      </c>
      <c r="F74" s="39" t="s">
        <v>21</v>
      </c>
      <c r="G74" s="36" t="s">
        <v>371</v>
      </c>
      <c r="H74" s="42" t="s">
        <v>31</v>
      </c>
      <c r="I74" s="36" t="s">
        <v>374</v>
      </c>
      <c r="J74" s="36" t="s">
        <v>114</v>
      </c>
      <c r="K74" s="36" t="str">
        <f>D74&amp;" "&amp;E74&amp;" "&amp;F74&amp;" "&amp;G74&amp;" "&amp;H74&amp;" "&amp;I74</f>
        <v>Yo como Mecánico necesito responder solicitudes para poder hacer seguimiento al servicio solicitado</v>
      </c>
      <c r="L74" s="29" t="s">
        <v>115</v>
      </c>
      <c r="M74" s="30" t="s">
        <v>423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25">
      <c r="A75" s="34"/>
      <c r="B75" s="34"/>
      <c r="C75" s="37"/>
      <c r="D75" s="40"/>
      <c r="E75" s="37"/>
      <c r="F75" s="40"/>
      <c r="G75" s="37"/>
      <c r="H75" s="43"/>
      <c r="I75" s="37"/>
      <c r="J75" s="37"/>
      <c r="K75" s="37"/>
      <c r="L75" s="29" t="s">
        <v>116</v>
      </c>
      <c r="M75" s="30" t="s">
        <v>424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25">
      <c r="A76" s="34"/>
      <c r="B76" s="35"/>
      <c r="C76" s="38"/>
      <c r="D76" s="41"/>
      <c r="E76" s="38"/>
      <c r="F76" s="41"/>
      <c r="G76" s="38"/>
      <c r="H76" s="44"/>
      <c r="I76" s="38"/>
      <c r="J76" s="38"/>
      <c r="K76" s="38"/>
      <c r="L76" s="29" t="s">
        <v>117</v>
      </c>
      <c r="M76" s="30" t="s">
        <v>425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25">
      <c r="A77" s="34"/>
      <c r="B77" s="33" t="s">
        <v>366</v>
      </c>
      <c r="C77" s="36" t="s">
        <v>372</v>
      </c>
      <c r="D77" s="39" t="s">
        <v>16</v>
      </c>
      <c r="E77" s="36" t="s">
        <v>23</v>
      </c>
      <c r="F77" s="39" t="s">
        <v>21</v>
      </c>
      <c r="G77" s="36" t="s">
        <v>373</v>
      </c>
      <c r="H77" s="42" t="s">
        <v>31</v>
      </c>
      <c r="I77" s="36" t="s">
        <v>374</v>
      </c>
      <c r="J77" s="36" t="s">
        <v>118</v>
      </c>
      <c r="K77" s="36" t="str">
        <f>D77&amp;" "&amp;E77&amp;" "&amp;F77&amp;" "&amp;G77&amp;" "&amp;H77&amp;" "&amp;I77</f>
        <v>Yo como Cliente necesito  consultar solicitudes para poder hacer seguimiento al servicio solicitado</v>
      </c>
      <c r="L77" s="29" t="s">
        <v>119</v>
      </c>
      <c r="M77" s="30" t="s">
        <v>426</v>
      </c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25">
      <c r="A78" s="34"/>
      <c r="B78" s="34"/>
      <c r="C78" s="37"/>
      <c r="D78" s="40"/>
      <c r="E78" s="37"/>
      <c r="F78" s="40"/>
      <c r="G78" s="37"/>
      <c r="H78" s="43"/>
      <c r="I78" s="37"/>
      <c r="J78" s="37"/>
      <c r="K78" s="37"/>
      <c r="L78" s="29" t="s">
        <v>120</v>
      </c>
      <c r="M78" s="30" t="s">
        <v>427</v>
      </c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25">
      <c r="A79" s="34"/>
      <c r="B79" s="35"/>
      <c r="C79" s="38"/>
      <c r="D79" s="41"/>
      <c r="E79" s="38"/>
      <c r="F79" s="41"/>
      <c r="G79" s="38"/>
      <c r="H79" s="44"/>
      <c r="I79" s="38"/>
      <c r="J79" s="38"/>
      <c r="K79" s="38"/>
      <c r="L79" s="29" t="s">
        <v>121</v>
      </c>
      <c r="M79" s="30" t="s">
        <v>428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25">
      <c r="A80" s="34"/>
      <c r="B80" s="33" t="s">
        <v>137</v>
      </c>
      <c r="C80" s="36" t="s">
        <v>375</v>
      </c>
      <c r="D80" s="39" t="s">
        <v>16</v>
      </c>
      <c r="E80" s="36" t="s">
        <v>12</v>
      </c>
      <c r="F80" s="39" t="s">
        <v>21</v>
      </c>
      <c r="G80" s="36" t="s">
        <v>228</v>
      </c>
      <c r="H80" s="42" t="s">
        <v>31</v>
      </c>
      <c r="I80" s="36" t="s">
        <v>376</v>
      </c>
      <c r="J80" s="36" t="s">
        <v>122</v>
      </c>
      <c r="K80" s="36" t="str">
        <f>D80&amp;" "&amp;E80&amp;" "&amp;F80&amp;" "&amp;G80&amp;" "&amp;H80&amp;" "&amp;I80</f>
        <v>Yo como Usuario necesito enviar mensajes y evidencias para poder explicar mejor el problema del vehículo</v>
      </c>
      <c r="L80" s="29" t="s">
        <v>123</v>
      </c>
      <c r="M80" s="30" t="s">
        <v>429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25">
      <c r="A81" s="34"/>
      <c r="B81" s="34"/>
      <c r="C81" s="37"/>
      <c r="D81" s="40"/>
      <c r="E81" s="37"/>
      <c r="F81" s="40"/>
      <c r="G81" s="37"/>
      <c r="H81" s="43"/>
      <c r="I81" s="37"/>
      <c r="J81" s="37"/>
      <c r="K81" s="37"/>
      <c r="L81" s="29" t="s">
        <v>124</v>
      </c>
      <c r="M81" s="30" t="s">
        <v>430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25">
      <c r="A82" s="34"/>
      <c r="B82" s="35"/>
      <c r="C82" s="38"/>
      <c r="D82" s="41"/>
      <c r="E82" s="38"/>
      <c r="F82" s="41"/>
      <c r="G82" s="38"/>
      <c r="H82" s="44"/>
      <c r="I82" s="38"/>
      <c r="J82" s="38"/>
      <c r="K82" s="38"/>
      <c r="L82" s="29" t="s">
        <v>125</v>
      </c>
      <c r="M82" s="30" t="s">
        <v>229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25">
      <c r="A83" s="34"/>
      <c r="B83" s="33" t="s">
        <v>137</v>
      </c>
      <c r="C83" s="36" t="s">
        <v>377</v>
      </c>
      <c r="D83" s="39" t="s">
        <v>16</v>
      </c>
      <c r="E83" s="36" t="s">
        <v>12</v>
      </c>
      <c r="F83" s="39" t="s">
        <v>21</v>
      </c>
      <c r="G83" s="36" t="s">
        <v>378</v>
      </c>
      <c r="H83" s="42" t="s">
        <v>31</v>
      </c>
      <c r="I83" s="36" t="s">
        <v>230</v>
      </c>
      <c r="J83" s="36" t="s">
        <v>126</v>
      </c>
      <c r="K83" s="36" t="str">
        <f>D83&amp;" "&amp;E83&amp;" "&amp;F83&amp;" "&amp;G83&amp;" "&amp;H83&amp;" "&amp;I83</f>
        <v>Yo como Usuario necesito consultar el historial de mensajes  para poder revisar la conversación completa del caso</v>
      </c>
      <c r="L83" s="29" t="s">
        <v>127</v>
      </c>
      <c r="M83" s="30" t="s">
        <v>231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25">
      <c r="A84" s="34"/>
      <c r="B84" s="34"/>
      <c r="C84" s="37"/>
      <c r="D84" s="40"/>
      <c r="E84" s="37"/>
      <c r="F84" s="40"/>
      <c r="G84" s="37"/>
      <c r="H84" s="43"/>
      <c r="I84" s="37"/>
      <c r="J84" s="37"/>
      <c r="K84" s="37"/>
      <c r="L84" s="29" t="s">
        <v>128</v>
      </c>
      <c r="M84" s="30" t="s">
        <v>431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25">
      <c r="A85" s="35"/>
      <c r="B85" s="35"/>
      <c r="C85" s="38"/>
      <c r="D85" s="41"/>
      <c r="E85" s="38"/>
      <c r="F85" s="41"/>
      <c r="G85" s="38"/>
      <c r="H85" s="44"/>
      <c r="I85" s="38"/>
      <c r="J85" s="38"/>
      <c r="K85" s="38"/>
      <c r="L85" s="29" t="s">
        <v>129</v>
      </c>
      <c r="M85" s="30" t="s">
        <v>432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2"/>
      <c r="K86" s="31"/>
      <c r="L86" s="31"/>
      <c r="M86" s="31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25">
      <c r="A87" s="33" t="s">
        <v>140</v>
      </c>
      <c r="B87" s="33" t="s">
        <v>141</v>
      </c>
      <c r="C87" s="36" t="s">
        <v>232</v>
      </c>
      <c r="D87" s="39" t="s">
        <v>16</v>
      </c>
      <c r="E87" s="36" t="s">
        <v>8</v>
      </c>
      <c r="F87" s="39" t="s">
        <v>21</v>
      </c>
      <c r="G87" s="36" t="s">
        <v>353</v>
      </c>
      <c r="H87" s="42" t="s">
        <v>31</v>
      </c>
      <c r="I87" s="36" t="s">
        <v>354</v>
      </c>
      <c r="J87" s="36" t="s">
        <v>150</v>
      </c>
      <c r="K87" s="36" t="str">
        <f>D87&amp;" "&amp;E87&amp;" "&amp;F87&amp;" "&amp;G87&amp;" "&amp;H87&amp;" "&amp;I87</f>
        <v>Yo como Administrador necesito generar reportes de servicios para poder para poder analizar el rendimiento del taller</v>
      </c>
      <c r="L87" s="29" t="s">
        <v>233</v>
      </c>
      <c r="M87" s="30" t="s">
        <v>433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25">
      <c r="A88" s="34"/>
      <c r="B88" s="34"/>
      <c r="C88" s="37"/>
      <c r="D88" s="40"/>
      <c r="E88" s="37"/>
      <c r="F88" s="40"/>
      <c r="G88" s="37"/>
      <c r="H88" s="43"/>
      <c r="I88" s="37"/>
      <c r="J88" s="37"/>
      <c r="K88" s="37"/>
      <c r="L88" s="29" t="s">
        <v>234</v>
      </c>
      <c r="M88" s="30" t="s">
        <v>434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25">
      <c r="A89" s="34"/>
      <c r="B89" s="35"/>
      <c r="C89" s="38"/>
      <c r="D89" s="41"/>
      <c r="E89" s="38"/>
      <c r="F89" s="41"/>
      <c r="G89" s="38"/>
      <c r="H89" s="44"/>
      <c r="I89" s="38"/>
      <c r="J89" s="38"/>
      <c r="K89" s="38"/>
      <c r="L89" s="29" t="s">
        <v>235</v>
      </c>
      <c r="M89" s="30" t="s">
        <v>236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25">
      <c r="A90" s="34"/>
      <c r="B90" s="33" t="s">
        <v>141</v>
      </c>
      <c r="C90" s="36" t="s">
        <v>232</v>
      </c>
      <c r="D90" s="39" t="s">
        <v>16</v>
      </c>
      <c r="E90" s="36" t="s">
        <v>8</v>
      </c>
      <c r="F90" s="39" t="s">
        <v>21</v>
      </c>
      <c r="G90" s="36" t="s">
        <v>355</v>
      </c>
      <c r="H90" s="42" t="s">
        <v>31</v>
      </c>
      <c r="I90" s="36" t="s">
        <v>237</v>
      </c>
      <c r="J90" s="36" t="s">
        <v>238</v>
      </c>
      <c r="K90" s="36" t="str">
        <f>D90&amp;" "&amp;E90&amp;" "&amp;F90&amp;" "&amp;G90&amp;" "&amp;H90&amp;" "&amp;I90</f>
        <v>Yo como Administrador necesito generar reportes de clientes y vehiculos para poder tomar decisiones basadas en información consolidada</v>
      </c>
      <c r="L90" s="29" t="s">
        <v>239</v>
      </c>
      <c r="M90" s="30" t="s">
        <v>435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25">
      <c r="A91" s="34"/>
      <c r="B91" s="34"/>
      <c r="C91" s="37"/>
      <c r="D91" s="40"/>
      <c r="E91" s="37"/>
      <c r="F91" s="40"/>
      <c r="G91" s="37"/>
      <c r="H91" s="43"/>
      <c r="I91" s="37"/>
      <c r="J91" s="37"/>
      <c r="K91" s="37"/>
      <c r="L91" s="29" t="s">
        <v>240</v>
      </c>
      <c r="M91" s="30" t="s">
        <v>436</v>
      </c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25">
      <c r="A92" s="34"/>
      <c r="B92" s="35"/>
      <c r="C92" s="38"/>
      <c r="D92" s="41"/>
      <c r="E92" s="38"/>
      <c r="F92" s="41"/>
      <c r="G92" s="38"/>
      <c r="H92" s="44"/>
      <c r="I92" s="38"/>
      <c r="J92" s="38"/>
      <c r="K92" s="38"/>
      <c r="L92" s="29" t="s">
        <v>241</v>
      </c>
      <c r="M92" s="30" t="s">
        <v>437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25">
      <c r="A93" s="34"/>
      <c r="B93" s="33" t="s">
        <v>352</v>
      </c>
      <c r="C93" s="36" t="s">
        <v>362</v>
      </c>
      <c r="D93" s="39" t="s">
        <v>16</v>
      </c>
      <c r="E93" s="36" t="s">
        <v>356</v>
      </c>
      <c r="F93" s="39" t="s">
        <v>21</v>
      </c>
      <c r="G93" s="36" t="s">
        <v>357</v>
      </c>
      <c r="H93" s="42" t="s">
        <v>31</v>
      </c>
      <c r="I93" s="36" t="s">
        <v>358</v>
      </c>
      <c r="J93" s="36" t="s">
        <v>151</v>
      </c>
      <c r="K93" s="36" t="str">
        <f>D93&amp;" "&amp;E93&amp;" "&amp;F93&amp;" "&amp;G93&amp;" "&amp;H93&amp;" "&amp;I93</f>
        <v>Yo como Mecanico necesito registrar avance del servicio para poder para poder  monitorear el progreso del trabajo realizado</v>
      </c>
      <c r="L93" s="29" t="s">
        <v>242</v>
      </c>
      <c r="M93" s="30" t="s">
        <v>438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25">
      <c r="A94" s="34"/>
      <c r="B94" s="34"/>
      <c r="C94" s="37"/>
      <c r="D94" s="40"/>
      <c r="E94" s="37"/>
      <c r="F94" s="40"/>
      <c r="G94" s="37"/>
      <c r="H94" s="43"/>
      <c r="I94" s="37"/>
      <c r="J94" s="37"/>
      <c r="K94" s="37"/>
      <c r="L94" s="29" t="s">
        <v>243</v>
      </c>
      <c r="M94" s="30" t="s">
        <v>439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25">
      <c r="A95" s="34"/>
      <c r="B95" s="35"/>
      <c r="C95" s="38"/>
      <c r="D95" s="41"/>
      <c r="E95" s="38"/>
      <c r="F95" s="41"/>
      <c r="G95" s="38"/>
      <c r="H95" s="44"/>
      <c r="I95" s="38"/>
      <c r="J95" s="38"/>
      <c r="K95" s="38"/>
      <c r="L95" s="29" t="s">
        <v>244</v>
      </c>
      <c r="M95" s="30" t="s">
        <v>440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25">
      <c r="A96" s="34"/>
      <c r="B96" s="33" t="s">
        <v>352</v>
      </c>
      <c r="C96" s="36" t="s">
        <v>359</v>
      </c>
      <c r="D96" s="39" t="s">
        <v>16</v>
      </c>
      <c r="E96" s="36" t="s">
        <v>356</v>
      </c>
      <c r="F96" s="39" t="s">
        <v>21</v>
      </c>
      <c r="G96" s="36" t="s">
        <v>360</v>
      </c>
      <c r="H96" s="42" t="s">
        <v>31</v>
      </c>
      <c r="I96" s="36" t="s">
        <v>361</v>
      </c>
      <c r="J96" s="36" t="s">
        <v>245</v>
      </c>
      <c r="K96" s="36" t="str">
        <f>D96&amp;" "&amp;E96&amp;" "&amp;F96&amp;" "&amp;G96&amp;" "&amp;H96&amp;" "&amp;I96</f>
        <v>Yo como Mecanico necesito  programar mantenimientos para poder dar continuidad al servicio del vehículo</v>
      </c>
      <c r="L96" s="29" t="s">
        <v>246</v>
      </c>
      <c r="M96" s="30" t="s">
        <v>441</v>
      </c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25">
      <c r="A97" s="34"/>
      <c r="B97" s="34"/>
      <c r="C97" s="37"/>
      <c r="D97" s="40"/>
      <c r="E97" s="37"/>
      <c r="F97" s="40"/>
      <c r="G97" s="37"/>
      <c r="H97" s="43"/>
      <c r="I97" s="37"/>
      <c r="J97" s="37"/>
      <c r="K97" s="37"/>
      <c r="L97" s="29" t="s">
        <v>247</v>
      </c>
      <c r="M97" s="30" t="s">
        <v>442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25">
      <c r="A98" s="35"/>
      <c r="B98" s="35"/>
      <c r="C98" s="38"/>
      <c r="D98" s="41"/>
      <c r="E98" s="38"/>
      <c r="F98" s="41"/>
      <c r="G98" s="38"/>
      <c r="H98" s="44"/>
      <c r="I98" s="38"/>
      <c r="J98" s="38"/>
      <c r="K98" s="38"/>
      <c r="L98" s="29" t="s">
        <v>248</v>
      </c>
      <c r="M98" s="30" t="s">
        <v>443</v>
      </c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2"/>
      <c r="K99" s="31"/>
      <c r="L99" s="31"/>
      <c r="M99" s="31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25">
      <c r="A100" s="33" t="s">
        <v>142</v>
      </c>
      <c r="B100" s="33" t="s">
        <v>143</v>
      </c>
      <c r="C100" s="36" t="s">
        <v>249</v>
      </c>
      <c r="D100" s="39" t="s">
        <v>16</v>
      </c>
      <c r="E100" s="36" t="s">
        <v>12</v>
      </c>
      <c r="F100" s="39" t="s">
        <v>21</v>
      </c>
      <c r="G100" s="36" t="s">
        <v>363</v>
      </c>
      <c r="H100" s="42" t="s">
        <v>31</v>
      </c>
      <c r="I100" s="36" t="s">
        <v>364</v>
      </c>
      <c r="J100" s="36" t="s">
        <v>152</v>
      </c>
      <c r="K100" s="36" t="str">
        <f>D100&amp;" "&amp;E100&amp;" "&amp;F100&amp;" "&amp;G100&amp;" "&amp;H100&amp;" "&amp;I100</f>
        <v>Yo como Usuario necesito recibir recordatorios de mantenimiento para poder no olvidar servicios programados del vehículo</v>
      </c>
      <c r="L100" s="29" t="s">
        <v>250</v>
      </c>
      <c r="M100" s="30" t="s">
        <v>444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25">
      <c r="A101" s="34"/>
      <c r="B101" s="34"/>
      <c r="C101" s="37"/>
      <c r="D101" s="40"/>
      <c r="E101" s="37"/>
      <c r="F101" s="40"/>
      <c r="G101" s="37"/>
      <c r="H101" s="43"/>
      <c r="I101" s="37"/>
      <c r="J101" s="37"/>
      <c r="K101" s="37"/>
      <c r="L101" s="29" t="s">
        <v>251</v>
      </c>
      <c r="M101" s="30" t="s">
        <v>445</v>
      </c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25">
      <c r="A102" s="34"/>
      <c r="B102" s="35"/>
      <c r="C102" s="38"/>
      <c r="D102" s="41"/>
      <c r="E102" s="38"/>
      <c r="F102" s="41"/>
      <c r="G102" s="38"/>
      <c r="H102" s="44"/>
      <c r="I102" s="38"/>
      <c r="J102" s="38"/>
      <c r="K102" s="38"/>
      <c r="L102" s="29" t="s">
        <v>252</v>
      </c>
      <c r="M102" s="30" t="s">
        <v>253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25">
      <c r="A103" s="34"/>
      <c r="B103" s="33" t="s">
        <v>143</v>
      </c>
      <c r="C103" s="36" t="s">
        <v>249</v>
      </c>
      <c r="D103" s="39" t="s">
        <v>16</v>
      </c>
      <c r="E103" s="36" t="s">
        <v>12</v>
      </c>
      <c r="F103" s="39" t="s">
        <v>21</v>
      </c>
      <c r="G103" s="36" t="s">
        <v>365</v>
      </c>
      <c r="H103" s="42" t="s">
        <v>31</v>
      </c>
      <c r="I103" s="36" t="s">
        <v>446</v>
      </c>
      <c r="J103" s="36" t="s">
        <v>254</v>
      </c>
      <c r="K103" s="36" t="str">
        <f>D103&amp;" "&amp;E103&amp;" "&amp;F103&amp;" "&amp;G103&amp;" "&amp;H103&amp;" "&amp;I103</f>
        <v>Yo como Usuario necesito recibir alertas sobre el estado del servicio para poder estar informado sobre el avance del vehículo en el taller</v>
      </c>
      <c r="L103" s="29" t="s">
        <v>255</v>
      </c>
      <c r="M103" s="30" t="s">
        <v>447</v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25">
      <c r="A104" s="34"/>
      <c r="B104" s="34"/>
      <c r="C104" s="37"/>
      <c r="D104" s="40"/>
      <c r="E104" s="37"/>
      <c r="F104" s="40"/>
      <c r="G104" s="37"/>
      <c r="H104" s="43"/>
      <c r="I104" s="37"/>
      <c r="J104" s="37"/>
      <c r="K104" s="37"/>
      <c r="L104" s="29" t="s">
        <v>256</v>
      </c>
      <c r="M104" s="30" t="s">
        <v>448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25">
      <c r="A105" s="35"/>
      <c r="B105" s="35"/>
      <c r="C105" s="38"/>
      <c r="D105" s="41"/>
      <c r="E105" s="38"/>
      <c r="F105" s="41"/>
      <c r="G105" s="38"/>
      <c r="H105" s="44"/>
      <c r="I105" s="38"/>
      <c r="J105" s="38"/>
      <c r="K105" s="38"/>
      <c r="L105" s="29" t="s">
        <v>257</v>
      </c>
      <c r="M105" s="30" t="s">
        <v>258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5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5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5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5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5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5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5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5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5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5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5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5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5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5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5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5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5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5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5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5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5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5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5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5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5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5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5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5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5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5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5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5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5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5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5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5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5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5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5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5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5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5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5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5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5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5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5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5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5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5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5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5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5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5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5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5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5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5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5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5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5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5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5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5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5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5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5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5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5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5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5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5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5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5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5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5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5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5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5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5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5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5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5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5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5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5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5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5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5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5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5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5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5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5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5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5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5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5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5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5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5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5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5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5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5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5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5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5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5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5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5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5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5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5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5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5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5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5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5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5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5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5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5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5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5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5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5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5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5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5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5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5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5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5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5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5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5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5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5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5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5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5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5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5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5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5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5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5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5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5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5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5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5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5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5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5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5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5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5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5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5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5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5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5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5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5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5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5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5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5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5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5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5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5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5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5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5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5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5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5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5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5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5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5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5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5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5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5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5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5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5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5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5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5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5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5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5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5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5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5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5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5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5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5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5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5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5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5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5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5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5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5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5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5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5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5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5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5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5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5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5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5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5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5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5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5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5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5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5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5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5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5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5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5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5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5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5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5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5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5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5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5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5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5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5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5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5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5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5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5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5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5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5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5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5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5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5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5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5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5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5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5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5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5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5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5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5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5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5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5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5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5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5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5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5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5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5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5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5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5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5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5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5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5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5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5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5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5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5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5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5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5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5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5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5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5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5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5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5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5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5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5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5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5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5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5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5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5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5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5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5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5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5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5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5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5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5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5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5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5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5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5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5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5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5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5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5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5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5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5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5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5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5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5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5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5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5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5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5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5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5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5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5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5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5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5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5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5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5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5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5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5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5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5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5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5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5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5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5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5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5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5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5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5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5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5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5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5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5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5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5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5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5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5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5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5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5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5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5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5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5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5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5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5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5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5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5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5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5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5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5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5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5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5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5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5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5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5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5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5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5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5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5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5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5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5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5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5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5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5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5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5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5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5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5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5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5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5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5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5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5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5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5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5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5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5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5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5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5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5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5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5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5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5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5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5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5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5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5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5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5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5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5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5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5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5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5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5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5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5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5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5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5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5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5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5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5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5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5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5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5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5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5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5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5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5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5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5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5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5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5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5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5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5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5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5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5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5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5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5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5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5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5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5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5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5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5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5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5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5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5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5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5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5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5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5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5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5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5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5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5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5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5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5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5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5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5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5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5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5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5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5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5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5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5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5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5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5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5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5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5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5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5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5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5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5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5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5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5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5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5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5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5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5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5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5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5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5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5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5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5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5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5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5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5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5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5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5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5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5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5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5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5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5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5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5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5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5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5"/>
      <c r="K700" s="14"/>
      <c r="L700" s="14"/>
      <c r="M700" s="14"/>
    </row>
    <row r="701" spans="1:26" ht="1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5"/>
      <c r="K701" s="14"/>
      <c r="L701" s="14"/>
      <c r="M701" s="14"/>
    </row>
  </sheetData>
  <mergeCells count="328">
    <mergeCell ref="G4:G6"/>
    <mergeCell ref="H4:H6"/>
    <mergeCell ref="I4:I6"/>
    <mergeCell ref="J4:J6"/>
    <mergeCell ref="K10:K12"/>
    <mergeCell ref="J26:J28"/>
    <mergeCell ref="K26:K28"/>
    <mergeCell ref="G26:G28"/>
    <mergeCell ref="G7:G9"/>
    <mergeCell ref="H7:H9"/>
    <mergeCell ref="I7:I9"/>
    <mergeCell ref="J7:J9"/>
    <mergeCell ref="K13:K15"/>
    <mergeCell ref="F10:F12"/>
    <mergeCell ref="G10:G12"/>
    <mergeCell ref="H10:H12"/>
    <mergeCell ref="I10:I12"/>
    <mergeCell ref="J10:J12"/>
    <mergeCell ref="A1:M1"/>
    <mergeCell ref="D19:D21"/>
    <mergeCell ref="E19:E21"/>
    <mergeCell ref="F19:F21"/>
    <mergeCell ref="G19:G21"/>
    <mergeCell ref="H19:H21"/>
    <mergeCell ref="I19:I21"/>
    <mergeCell ref="J19:J21"/>
    <mergeCell ref="K19:K21"/>
    <mergeCell ref="E4:E6"/>
    <mergeCell ref="D10:D12"/>
    <mergeCell ref="E10:E12"/>
    <mergeCell ref="D13:D15"/>
    <mergeCell ref="E13:E15"/>
    <mergeCell ref="F13:F15"/>
    <mergeCell ref="G13:G15"/>
    <mergeCell ref="H13:H15"/>
    <mergeCell ref="I13:I15"/>
    <mergeCell ref="J13:J15"/>
    <mergeCell ref="D16:D18"/>
    <mergeCell ref="E16:E18"/>
    <mergeCell ref="F16:F18"/>
    <mergeCell ref="G16:G18"/>
    <mergeCell ref="K67:K69"/>
    <mergeCell ref="K38:K40"/>
    <mergeCell ref="K41:K43"/>
    <mergeCell ref="K44:K46"/>
    <mergeCell ref="J48:J50"/>
    <mergeCell ref="K48:K50"/>
    <mergeCell ref="H26:H28"/>
    <mergeCell ref="I26:I28"/>
    <mergeCell ref="K32:K34"/>
    <mergeCell ref="K22:K24"/>
    <mergeCell ref="G29:G31"/>
    <mergeCell ref="H29:H31"/>
    <mergeCell ref="I29:I31"/>
    <mergeCell ref="J29:J31"/>
    <mergeCell ref="K29:K31"/>
    <mergeCell ref="G32:G34"/>
    <mergeCell ref="H32:H34"/>
    <mergeCell ref="I32:I34"/>
    <mergeCell ref="J32:J34"/>
    <mergeCell ref="G35:G37"/>
    <mergeCell ref="D26:D28"/>
    <mergeCell ref="E26:E28"/>
    <mergeCell ref="D93:D95"/>
    <mergeCell ref="E93:E95"/>
    <mergeCell ref="K93:K95"/>
    <mergeCell ref="K96:K98"/>
    <mergeCell ref="K100:K102"/>
    <mergeCell ref="K103:K105"/>
    <mergeCell ref="F93:F95"/>
    <mergeCell ref="G93:G95"/>
    <mergeCell ref="H93:H95"/>
    <mergeCell ref="I93:I95"/>
    <mergeCell ref="J93:J95"/>
    <mergeCell ref="J100:J102"/>
    <mergeCell ref="J103:J105"/>
    <mergeCell ref="J71:J73"/>
    <mergeCell ref="K71:K73"/>
    <mergeCell ref="J74:J76"/>
    <mergeCell ref="K74:K76"/>
    <mergeCell ref="I77:I79"/>
    <mergeCell ref="J77:J79"/>
    <mergeCell ref="K77:K79"/>
    <mergeCell ref="K80:K82"/>
    <mergeCell ref="H35:H37"/>
    <mergeCell ref="A4:A24"/>
    <mergeCell ref="B4:B6"/>
    <mergeCell ref="C4:C6"/>
    <mergeCell ref="F4:F6"/>
    <mergeCell ref="K4:K6"/>
    <mergeCell ref="B7:B9"/>
    <mergeCell ref="C7:C9"/>
    <mergeCell ref="K7:K9"/>
    <mergeCell ref="B10:B12"/>
    <mergeCell ref="C10:C12"/>
    <mergeCell ref="B13:B15"/>
    <mergeCell ref="C13:C15"/>
    <mergeCell ref="B16:B18"/>
    <mergeCell ref="C16:C18"/>
    <mergeCell ref="B19:B21"/>
    <mergeCell ref="C19:C21"/>
    <mergeCell ref="H16:H18"/>
    <mergeCell ref="I16:I18"/>
    <mergeCell ref="J16:J18"/>
    <mergeCell ref="K16:K18"/>
    <mergeCell ref="D4:D6"/>
    <mergeCell ref="D7:D9"/>
    <mergeCell ref="E7:E9"/>
    <mergeCell ref="F7:F9"/>
    <mergeCell ref="B22:B24"/>
    <mergeCell ref="C22:C24"/>
    <mergeCell ref="D22:D24"/>
    <mergeCell ref="E22:E24"/>
    <mergeCell ref="F22:F24"/>
    <mergeCell ref="G22:G24"/>
    <mergeCell ref="H22:H24"/>
    <mergeCell ref="I22:I24"/>
    <mergeCell ref="J22:J24"/>
    <mergeCell ref="A26:A46"/>
    <mergeCell ref="B26:B28"/>
    <mergeCell ref="C26:C28"/>
    <mergeCell ref="F26:F28"/>
    <mergeCell ref="B29:B31"/>
    <mergeCell ref="C29:C31"/>
    <mergeCell ref="D29:D31"/>
    <mergeCell ref="E29:E31"/>
    <mergeCell ref="F29:F31"/>
    <mergeCell ref="B32:B34"/>
    <mergeCell ref="C32:C34"/>
    <mergeCell ref="D32:D34"/>
    <mergeCell ref="E32:E34"/>
    <mergeCell ref="F32:F34"/>
    <mergeCell ref="C35:C37"/>
    <mergeCell ref="D35:D37"/>
    <mergeCell ref="E35:E37"/>
    <mergeCell ref="F35:F37"/>
    <mergeCell ref="B41:B43"/>
    <mergeCell ref="C41:C43"/>
    <mergeCell ref="D41:D43"/>
    <mergeCell ref="E41:E43"/>
    <mergeCell ref="F41:F43"/>
    <mergeCell ref="B35:B37"/>
    <mergeCell ref="I35:I37"/>
    <mergeCell ref="J35:J37"/>
    <mergeCell ref="K35:K37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G41:G43"/>
    <mergeCell ref="H41:H43"/>
    <mergeCell ref="I41:I43"/>
    <mergeCell ref="J41:J43"/>
    <mergeCell ref="B44:B46"/>
    <mergeCell ref="C44:C46"/>
    <mergeCell ref="D44:D46"/>
    <mergeCell ref="E44:E46"/>
    <mergeCell ref="F44:F46"/>
    <mergeCell ref="G44:G46"/>
    <mergeCell ref="H44:H46"/>
    <mergeCell ref="I44:I46"/>
    <mergeCell ref="J44:J46"/>
    <mergeCell ref="A48:A59"/>
    <mergeCell ref="B48:B50"/>
    <mergeCell ref="C48:C50"/>
    <mergeCell ref="D48:D50"/>
    <mergeCell ref="E48:E50"/>
    <mergeCell ref="F48:F50"/>
    <mergeCell ref="G48:G50"/>
    <mergeCell ref="H48:H50"/>
    <mergeCell ref="I48:I50"/>
    <mergeCell ref="B51:B53"/>
    <mergeCell ref="C51:C53"/>
    <mergeCell ref="D51:D53"/>
    <mergeCell ref="E51:E53"/>
    <mergeCell ref="F51:F53"/>
    <mergeCell ref="G51:G53"/>
    <mergeCell ref="H51:H53"/>
    <mergeCell ref="I51:I53"/>
    <mergeCell ref="B57:B59"/>
    <mergeCell ref="C57:C59"/>
    <mergeCell ref="D57:D59"/>
    <mergeCell ref="E57:E59"/>
    <mergeCell ref="F57:F59"/>
    <mergeCell ref="G57:G59"/>
    <mergeCell ref="H57:H59"/>
    <mergeCell ref="J51:J53"/>
    <mergeCell ref="K51:K53"/>
    <mergeCell ref="B54:B56"/>
    <mergeCell ref="C54:C56"/>
    <mergeCell ref="D54:D56"/>
    <mergeCell ref="E54:E56"/>
    <mergeCell ref="F54:F56"/>
    <mergeCell ref="G54:G56"/>
    <mergeCell ref="H54:H56"/>
    <mergeCell ref="I54:I56"/>
    <mergeCell ref="J54:J56"/>
    <mergeCell ref="K54:K56"/>
    <mergeCell ref="I57:I59"/>
    <mergeCell ref="J57:J59"/>
    <mergeCell ref="K57:K59"/>
    <mergeCell ref="A61:A69"/>
    <mergeCell ref="B61:B63"/>
    <mergeCell ref="C61:C63"/>
    <mergeCell ref="D61:D63"/>
    <mergeCell ref="E61:E63"/>
    <mergeCell ref="F61:F63"/>
    <mergeCell ref="G61:G63"/>
    <mergeCell ref="H61:H63"/>
    <mergeCell ref="I61:I63"/>
    <mergeCell ref="J61:J63"/>
    <mergeCell ref="K61:K63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A71:A85"/>
    <mergeCell ref="B71:B73"/>
    <mergeCell ref="C71:C73"/>
    <mergeCell ref="D71:D73"/>
    <mergeCell ref="E71:E73"/>
    <mergeCell ref="F71:F73"/>
    <mergeCell ref="G71:G73"/>
    <mergeCell ref="H71:H73"/>
    <mergeCell ref="I71:I73"/>
    <mergeCell ref="B74:B76"/>
    <mergeCell ref="C74:C76"/>
    <mergeCell ref="D74:D76"/>
    <mergeCell ref="E74:E76"/>
    <mergeCell ref="F74:F76"/>
    <mergeCell ref="G74:G76"/>
    <mergeCell ref="H74:H76"/>
    <mergeCell ref="I74:I76"/>
    <mergeCell ref="B77:B79"/>
    <mergeCell ref="C77:C79"/>
    <mergeCell ref="D77:D79"/>
    <mergeCell ref="E77:E79"/>
    <mergeCell ref="F77:F79"/>
    <mergeCell ref="G77:G79"/>
    <mergeCell ref="H77:H79"/>
    <mergeCell ref="B80:B82"/>
    <mergeCell ref="C80:C82"/>
    <mergeCell ref="D80:D82"/>
    <mergeCell ref="E80:E82"/>
    <mergeCell ref="F80:F82"/>
    <mergeCell ref="G80:G82"/>
    <mergeCell ref="H80:H82"/>
    <mergeCell ref="I80:I82"/>
    <mergeCell ref="J80:J82"/>
    <mergeCell ref="B83:B85"/>
    <mergeCell ref="C83:C85"/>
    <mergeCell ref="D83:D85"/>
    <mergeCell ref="E83:E85"/>
    <mergeCell ref="F83:F85"/>
    <mergeCell ref="G83:G85"/>
    <mergeCell ref="H83:H85"/>
    <mergeCell ref="I83:I85"/>
    <mergeCell ref="J83:J85"/>
    <mergeCell ref="K83:K85"/>
    <mergeCell ref="A87:A98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K87:K89"/>
    <mergeCell ref="B90:B92"/>
    <mergeCell ref="C90:C92"/>
    <mergeCell ref="D90:D92"/>
    <mergeCell ref="E90:E92"/>
    <mergeCell ref="F90:F92"/>
    <mergeCell ref="G90:G92"/>
    <mergeCell ref="H90:H92"/>
    <mergeCell ref="I90:I92"/>
    <mergeCell ref="J90:J92"/>
    <mergeCell ref="K90:K92"/>
    <mergeCell ref="B93:B95"/>
    <mergeCell ref="C93:C95"/>
    <mergeCell ref="B96:B98"/>
    <mergeCell ref="C96:C98"/>
    <mergeCell ref="D96:D98"/>
    <mergeCell ref="E96:E98"/>
    <mergeCell ref="F96:F98"/>
    <mergeCell ref="G96:G98"/>
    <mergeCell ref="H96:H98"/>
    <mergeCell ref="I96:I98"/>
    <mergeCell ref="J96:J98"/>
    <mergeCell ref="A100:A105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B103:B105"/>
    <mergeCell ref="C103:C105"/>
    <mergeCell ref="D103:D105"/>
    <mergeCell ref="E103:E105"/>
    <mergeCell ref="F103:F105"/>
    <mergeCell ref="G103:G105"/>
    <mergeCell ref="H103:H105"/>
    <mergeCell ref="I103:I105"/>
  </mergeCells>
  <pageMargins left="0.70866141732283472" right="0.70866141732283472" top="0.74803149606299213" bottom="0.74803149606299213" header="0" footer="0"/>
  <pageSetup orientation="landscape"/>
  <headerFooter>
    <oddFooter>&amp;LElaboró: Doris Elena Monsalve Sossa - Instructora ADSO&amp;CAprobó: Equipo Ejecutor ADSO&amp;RFecha: Marzo 2022 Versión 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Visión Proyecto</vt:lpstr>
      <vt:lpstr>Epics</vt:lpstr>
      <vt:lpstr>Formato Matriz 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Bryan Cordoba</cp:lastModifiedBy>
  <dcterms:created xsi:type="dcterms:W3CDTF">2022-02-25T21:35:28Z</dcterms:created>
  <dcterms:modified xsi:type="dcterms:W3CDTF">2026-04-13T00:02:00Z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2025-03-26T15:48:40Z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6200b00f-ddf1-4a0c-b1cc-8d3dad604396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WorkbookGuid">
    <vt:lpwstr>06235ed7-aa62-4c34-8e27-bbc4d161c2d0</vt:lpwstr>
  </property>
</Properties>
</file>